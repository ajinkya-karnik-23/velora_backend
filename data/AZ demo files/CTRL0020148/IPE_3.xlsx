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gb-my.sharepoint.com/personal/ananthram_n_sreenivas1_uk_ey_com/Documents/Ukwork/AZ demo files/CTRL0020148/"/>
    </mc:Choice>
  </mc:AlternateContent>
  <xr:revisionPtr revIDLastSave="9" documentId="8_{CA205826-2EC1-4997-818D-0E594512D511}" xr6:coauthVersionLast="47" xr6:coauthVersionMax="47" xr10:uidLastSave="{811F95B1-4603-4864-BC55-747F3BE44B31}"/>
  <bookViews>
    <workbookView xWindow="-120" yWindow="-120" windowWidth="29040" windowHeight="15840" xr2:uid="{9E890A1D-B924-45DE-BDCB-667A7F7E6F88}"/>
  </bookViews>
  <sheets>
    <sheet name="Sheet1" sheetId="1" r:id="rId1"/>
  </sheets>
  <externalReferences>
    <externalReference r:id="rId2"/>
  </externalReferences>
  <definedNames>
    <definedName name="CIQWBGuid" hidden="1">"87e351db-bb8e-4549-aa25-bc8f3ad79db7"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9" i="1"/>
</calcChain>
</file>

<file path=xl/sharedStrings.xml><?xml version="1.0" encoding="utf-8"?>
<sst xmlns="http://schemas.openxmlformats.org/spreadsheetml/2006/main" count="59" uniqueCount="59">
  <si>
    <t>Activity</t>
  </si>
  <si>
    <t>Geography</t>
  </si>
  <si>
    <t>Total Project</t>
  </si>
  <si>
    <t>Total Function</t>
  </si>
  <si>
    <t>Total AZ Workforce</t>
  </si>
  <si>
    <t>Total Channel</t>
  </si>
  <si>
    <t>Total_Department</t>
  </si>
  <si>
    <t>Submission Base</t>
  </si>
  <si>
    <t>Budget Rates</t>
  </si>
  <si>
    <t>Actual</t>
  </si>
  <si>
    <t>Periodic</t>
  </si>
  <si>
    <t>Product Sales</t>
  </si>
  <si>
    <t xml:space="preserve">          8001 Andexxa</t>
  </si>
  <si>
    <t xml:space="preserve">          1010 Plendil</t>
  </si>
  <si>
    <t xml:space="preserve">          1022 Brilinta</t>
  </si>
  <si>
    <t xml:space="preserve">          1025 Onglyza</t>
  </si>
  <si>
    <t xml:space="preserve">          1026 Farxiga</t>
  </si>
  <si>
    <t xml:space="preserve">          1033 Kombiglyze</t>
  </si>
  <si>
    <t xml:space="preserve">          1034 Xigduo</t>
  </si>
  <si>
    <t xml:space="preserve">          1036 Byetta</t>
  </si>
  <si>
    <t xml:space="preserve">          1061 Lokelma</t>
  </si>
  <si>
    <t xml:space="preserve">          1064 Bydureon Auto-Injector</t>
  </si>
  <si>
    <t xml:space="preserve">          1069 Brilinta Dispersible</t>
  </si>
  <si>
    <t xml:space="preserve">     10 Cardiovascular, Renal and Metabolism</t>
  </si>
  <si>
    <t xml:space="preserve">          1511 Seroquel IR</t>
  </si>
  <si>
    <t xml:space="preserve">     15 Neuroscience</t>
  </si>
  <si>
    <t xml:space="preserve">          2003 Faslodex</t>
  </si>
  <si>
    <t xml:space="preserve">          2004 Iressa</t>
  </si>
  <si>
    <t xml:space="preserve">          2005 Nolvadex</t>
  </si>
  <si>
    <t xml:space="preserve">          2009 Zoladex</t>
  </si>
  <si>
    <t xml:space="preserve">          2020 Lynparza</t>
  </si>
  <si>
    <t xml:space="preserve">          2028 Imjudo</t>
  </si>
  <si>
    <t xml:space="preserve">          2032 Tagrisso</t>
  </si>
  <si>
    <t xml:space="preserve">          2033 Imfinzi</t>
  </si>
  <si>
    <t xml:space="preserve">          2045 Calquence</t>
  </si>
  <si>
    <t xml:space="preserve">     20 Oncology</t>
  </si>
  <si>
    <t xml:space="preserve">          3050 Saphnelo Vial</t>
  </si>
  <si>
    <t xml:space="preserve">          3002 Bambec</t>
  </si>
  <si>
    <t xml:space="preserve">          3004 Oxis</t>
  </si>
  <si>
    <t xml:space="preserve">          3005 Pulmicort Respules</t>
  </si>
  <si>
    <t xml:space="preserve">          3010 Symbicort Turbuhaler</t>
  </si>
  <si>
    <t xml:space="preserve">          3034 Fasenra Prefilled Syringe</t>
  </si>
  <si>
    <t xml:space="preserve">          3039 Eklira</t>
  </si>
  <si>
    <t xml:space="preserve">          3040 Duaklir</t>
  </si>
  <si>
    <t xml:space="preserve">          3043 Bevespi</t>
  </si>
  <si>
    <t xml:space="preserve">          3045 Breztri</t>
  </si>
  <si>
    <t xml:space="preserve">          3049 Tezspire Pre-filled syringe</t>
  </si>
  <si>
    <t xml:space="preserve">          3054 Daliresp</t>
  </si>
  <si>
    <t xml:space="preserve">          3068 Bricanyl Turbuhaler</t>
  </si>
  <si>
    <t xml:space="preserve">          3070 Pulmicort Turbuhaler</t>
  </si>
  <si>
    <t xml:space="preserve">          3074 Bricanyl IV</t>
  </si>
  <si>
    <t xml:space="preserve">          3069 Fasenra Pen</t>
  </si>
  <si>
    <t xml:space="preserve">          3053 Tezspire Auto-injector</t>
  </si>
  <si>
    <t xml:space="preserve">     30 Respiratory &amp; Immunology</t>
  </si>
  <si>
    <t xml:space="preserve">          3015 FluMist</t>
  </si>
  <si>
    <t xml:space="preserve">          2542 Synagis</t>
  </si>
  <si>
    <t xml:space="preserve">          6003 Evusheld</t>
  </si>
  <si>
    <t xml:space="preserve">     60 Vaccines &amp; Immune Therapies</t>
  </si>
  <si>
    <t>Total_Product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</si>
</sst>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" fontId="1" fillId="0" borderId="1" xfId="0" applyNumberFormat="1" applyFont="1" applyBorder="1" applyAlignment="1">
      <alignment horizontal="left"/>
    </xf>
    <xf numFmtId="4" fontId="1" fillId="2" borderId="0" xfId="0" applyNumberFormat="1" applyFont="1" applyFill="1"/>
    <xf numFmtId="49" fontId="1" fillId="2" borderId="0" xfId="0" quotePrefix="1" applyNumberFormat="1" applyFont="1" applyFill="1"/>
    <xf numFmtId="4" fontId="0" fillId="0" borderId="0" xfId="0" applyNumberFormat="1"/>
    <xf numFmtId="0" fontId="1" fillId="2" borderId="0" xfId="0" quotePrefix="1" applyFont="1" applyFill="1"/>
    <xf numFmtId="49" fontId="1" fillId="2" borderId="2" xfId="0" quotePrefix="1" applyNumberFormat="1" applyFont="1" applyFill="1" applyBorder="1"/>
    <xf numFmtId="0" fontId="2" fillId="0" borderId="2" xfId="1" quotePrefix="1" applyBorder="1" applyAlignment="1">
      <alignment horizontal="left"/>
    </xf>
    <xf numFmtId="0" fontId="1" fillId="2" borderId="2" xfId="0" quotePrefix="1" applyFont="1" applyFill="1" applyBorder="1"/>
    <xf numFmtId="0" fontId="0" fillId="0" borderId="0" xfId="0" quotePrefix="1"/>
    <xf numFmtId="49" fontId="0" fillId="0" borderId="2" xfId="0" quotePrefix="1" applyNumberFormat="1" applyBorder="1"/>
    <xf numFmtId="49" fontId="1" fillId="2" borderId="2" xfId="0" applyNumberFormat="1" applyFont="1" applyFill="1" applyBorder="1"/>
  </cellXfs>
  <cellStyles count="2">
    <cellStyle name="Normal" xfId="0" builtinId="0"/>
    <cellStyle name="Normal 2" xfId="1" xr:uid="{4B5114BB-82B7-4EB1-A5F1-14307C025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tes.ey.com/sites/AZAutomationandGenAIPilot/Shared%20Documents/General/2.%20As%20Is%20Overview/Use%20Case%201-%20IPE/Data-%20Control%20Folders/CTRL0020148%20(Germany%20MC_FSC008-001)/Germany%20MC_FSC008-001_P1_Sample%201.xlsx" TargetMode="External"/><Relationship Id="rId1" Type="http://schemas.openxmlformats.org/officeDocument/2006/relationships/externalLinkPath" Target="https://sites.ey.com/sites/AZAutomationandGenAIPilot/Shared%20Documents/General/2.%20As%20Is%20Overview/Use%20Case%201-%20IPE/Data-%20Control%20Folders/CTRL0020148%20(Germany%20MC_FSC008-001)/Germany%20MC_FSC008-001_P1_Sampl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Commentary Matrix"/>
      <sheetName val="YTD vs PY"/>
      <sheetName val="S_ALR_87012284"/>
      <sheetName val="Andexxa_2024"/>
      <sheetName val="Andexxa_2023"/>
      <sheetName val="Symbicort Turbuhaler_2024"/>
      <sheetName val="Symbicort Turbuhaler_2023"/>
      <sheetName val="Eklira 2024"/>
      <sheetName val="Eklira 2023"/>
      <sheetName val="Forxiga 2024"/>
      <sheetName val="Forxiga 2023"/>
      <sheetName val="Seroquel IR_2024"/>
      <sheetName val="Seroquel IR_2023"/>
      <sheetName val="Seroquel XR_2024"/>
      <sheetName val="Seroquel XR_2023"/>
      <sheetName val="Koselugo_2024"/>
      <sheetName val="Koselugo_2023"/>
      <sheetName val="Duaklir_2024"/>
      <sheetName val="Duaklir_2023"/>
      <sheetName val="CMR"/>
      <sheetName val="Pivot GD13"/>
      <sheetName val="GD13"/>
      <sheetName val="&lt;Lookup&gt;"/>
    </sheetNames>
    <sheetDataSet>
      <sheetData sheetId="0">
        <row r="2">
          <cell r="C2">
            <v>2024</v>
          </cell>
        </row>
        <row r="4">
          <cell r="C4" t="str">
            <v>Mar</v>
          </cell>
        </row>
        <row r="8">
          <cell r="C8" t="str">
            <v>Germany (Top 12)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B4" t="str">
            <v>Jan</v>
          </cell>
          <cell r="C4" t="str">
            <v>JanYTD</v>
          </cell>
          <cell r="D4" t="str">
            <v>Jan_QTD</v>
          </cell>
          <cell r="E4" t="str">
            <v>Jan_YTD</v>
          </cell>
          <cell r="H4">
            <v>2013</v>
          </cell>
          <cell r="I4" t="str">
            <v>FY13</v>
          </cell>
          <cell r="J4" t="str">
            <v>FY12</v>
          </cell>
        </row>
        <row r="5">
          <cell r="B5" t="str">
            <v>Feb</v>
          </cell>
          <cell r="C5" t="str">
            <v>FebYTD</v>
          </cell>
          <cell r="D5" t="str">
            <v>Feb_QTD</v>
          </cell>
          <cell r="E5" t="str">
            <v>Feb_YTD</v>
          </cell>
          <cell r="H5">
            <v>2014</v>
          </cell>
          <cell r="I5" t="str">
            <v>FY14</v>
          </cell>
          <cell r="J5" t="str">
            <v>FY13</v>
          </cell>
        </row>
        <row r="6">
          <cell r="B6" t="str">
            <v>Mar</v>
          </cell>
          <cell r="C6" t="str">
            <v>MarYTD</v>
          </cell>
          <cell r="D6" t="str">
            <v>Mar_QTD</v>
          </cell>
          <cell r="E6" t="str">
            <v>Mar_YTD</v>
          </cell>
          <cell r="H6">
            <v>2015</v>
          </cell>
          <cell r="I6" t="str">
            <v>FY15</v>
          </cell>
          <cell r="J6" t="str">
            <v>FY14</v>
          </cell>
        </row>
        <row r="7">
          <cell r="B7" t="str">
            <v>Apr</v>
          </cell>
          <cell r="C7" t="str">
            <v>AprYTD</v>
          </cell>
          <cell r="D7" t="str">
            <v>Apr_QTD</v>
          </cell>
          <cell r="E7" t="str">
            <v>Apr_YTD</v>
          </cell>
          <cell r="H7">
            <v>2016</v>
          </cell>
          <cell r="I7" t="str">
            <v>FY16</v>
          </cell>
          <cell r="J7" t="str">
            <v>FY15</v>
          </cell>
        </row>
        <row r="8">
          <cell r="B8" t="str">
            <v>May</v>
          </cell>
          <cell r="C8" t="str">
            <v>MayYTD</v>
          </cell>
          <cell r="D8" t="str">
            <v>May_QTD</v>
          </cell>
          <cell r="E8" t="str">
            <v>May_YTD</v>
          </cell>
          <cell r="H8">
            <v>2017</v>
          </cell>
          <cell r="I8" t="str">
            <v>FY17</v>
          </cell>
          <cell r="J8" t="str">
            <v>FY16</v>
          </cell>
        </row>
        <row r="9">
          <cell r="B9" t="str">
            <v>Jun</v>
          </cell>
          <cell r="C9" t="str">
            <v>JunYTD</v>
          </cell>
          <cell r="D9" t="str">
            <v>Jun_QTD</v>
          </cell>
          <cell r="E9" t="str">
            <v>Jun_YTD</v>
          </cell>
          <cell r="H9">
            <v>2018</v>
          </cell>
          <cell r="I9" t="str">
            <v>FY18</v>
          </cell>
          <cell r="J9" t="str">
            <v>FY17</v>
          </cell>
        </row>
        <row r="10">
          <cell r="B10" t="str">
            <v>Jul</v>
          </cell>
          <cell r="C10" t="str">
            <v>JulYTD</v>
          </cell>
          <cell r="D10" t="str">
            <v>Jul_QTD</v>
          </cell>
          <cell r="E10" t="str">
            <v>Jul_YTD</v>
          </cell>
          <cell r="H10">
            <v>2019</v>
          </cell>
          <cell r="I10" t="str">
            <v>FY19</v>
          </cell>
          <cell r="J10" t="str">
            <v>FY18</v>
          </cell>
        </row>
        <row r="11">
          <cell r="B11" t="str">
            <v>Aug</v>
          </cell>
          <cell r="C11" t="str">
            <v>AugYTD</v>
          </cell>
          <cell r="D11" t="str">
            <v>Aug_QTD</v>
          </cell>
          <cell r="E11" t="str">
            <v>Aug_YTD</v>
          </cell>
          <cell r="H11">
            <v>2020</v>
          </cell>
          <cell r="I11" t="str">
            <v>FY20</v>
          </cell>
          <cell r="J11" t="str">
            <v>FY19</v>
          </cell>
        </row>
        <row r="12">
          <cell r="B12" t="str">
            <v>Sep</v>
          </cell>
          <cell r="C12" t="str">
            <v>SepYTD</v>
          </cell>
          <cell r="D12" t="str">
            <v>Sep_QTD</v>
          </cell>
          <cell r="E12" t="str">
            <v>Sep_YTD</v>
          </cell>
          <cell r="H12">
            <v>2021</v>
          </cell>
          <cell r="I12" t="str">
            <v>FY21</v>
          </cell>
          <cell r="J12" t="str">
            <v>FY20</v>
          </cell>
        </row>
        <row r="13">
          <cell r="B13" t="str">
            <v>Oct</v>
          </cell>
          <cell r="C13" t="str">
            <v>OctYTD</v>
          </cell>
          <cell r="D13" t="str">
            <v>Oct_QTD</v>
          </cell>
          <cell r="E13" t="str">
            <v>Oct_YTD</v>
          </cell>
          <cell r="H13">
            <v>2022</v>
          </cell>
          <cell r="I13" t="str">
            <v>FY22</v>
          </cell>
          <cell r="J13" t="str">
            <v>FY21</v>
          </cell>
        </row>
        <row r="14">
          <cell r="B14" t="str">
            <v>Nov</v>
          </cell>
          <cell r="C14" t="str">
            <v>NovYTD</v>
          </cell>
          <cell r="D14" t="str">
            <v>Nov_QTD</v>
          </cell>
          <cell r="E14" t="str">
            <v>Nov_YTD</v>
          </cell>
          <cell r="H14">
            <v>2023</v>
          </cell>
          <cell r="I14" t="str">
            <v>FY23</v>
          </cell>
          <cell r="J14" t="str">
            <v>FY22</v>
          </cell>
        </row>
        <row r="15">
          <cell r="B15" t="str">
            <v>Dec</v>
          </cell>
          <cell r="C15" t="str">
            <v>DecYTD</v>
          </cell>
          <cell r="D15" t="str">
            <v>Dec_QTD</v>
          </cell>
          <cell r="E15" t="str">
            <v>Dec_YTD</v>
          </cell>
          <cell r="H15">
            <v>2024</v>
          </cell>
          <cell r="I15" t="str">
            <v>FY24</v>
          </cell>
          <cell r="J15" t="str">
            <v>FY23</v>
          </cell>
        </row>
        <row r="16">
          <cell r="H16">
            <v>2025</v>
          </cell>
          <cell r="I16" t="str">
            <v>FY25</v>
          </cell>
          <cell r="J16" t="str">
            <v>FY24</v>
          </cell>
        </row>
        <row r="17">
          <cell r="H17">
            <v>2026</v>
          </cell>
          <cell r="I17" t="str">
            <v>FY26</v>
          </cell>
          <cell r="J17" t="str">
            <v>FY25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281A-40E2-43D9-B861-18925A43D0A0}">
  <dimension ref="A1:B62"/>
  <sheetViews>
    <sheetView tabSelected="1" workbookViewId="0">
      <selection activeCell="C1" sqref="C1:C1048576"/>
    </sheetView>
  </sheetViews>
  <sheetFormatPr defaultRowHeight="11.25" x14ac:dyDescent="0.2"/>
  <cols>
    <col min="1" max="1" width="45.6640625" bestFit="1" customWidth="1"/>
    <col min="2" max="2" width="20" bestFit="1" customWidth="1"/>
  </cols>
  <sheetData>
    <row r="1" spans="1:2" ht="12.75" x14ac:dyDescent="0.2">
      <c r="B1" s="1" t="s">
        <v>0</v>
      </c>
    </row>
    <row r="2" spans="1:2" ht="12.75" x14ac:dyDescent="0.2">
      <c r="B2" s="1" t="s">
        <v>1</v>
      </c>
    </row>
    <row r="3" spans="1:2" ht="12.75" x14ac:dyDescent="0.2">
      <c r="B3" s="1" t="s">
        <v>2</v>
      </c>
    </row>
    <row r="4" spans="1:2" ht="12.75" x14ac:dyDescent="0.2">
      <c r="B4" s="1" t="s">
        <v>3</v>
      </c>
    </row>
    <row r="5" spans="1:2" ht="12.75" x14ac:dyDescent="0.2">
      <c r="B5" s="1" t="s">
        <v>4</v>
      </c>
    </row>
    <row r="6" spans="1:2" ht="12.75" x14ac:dyDescent="0.2">
      <c r="B6" s="1" t="s">
        <v>5</v>
      </c>
    </row>
    <row r="7" spans="1:2" ht="12.75" x14ac:dyDescent="0.2">
      <c r="B7" s="1" t="s">
        <v>6</v>
      </c>
    </row>
    <row r="8" spans="1:2" ht="12.75" x14ac:dyDescent="0.2">
      <c r="B8" s="1" t="s">
        <v>7</v>
      </c>
    </row>
    <row r="9" spans="1:2" ht="12.75" x14ac:dyDescent="0.2">
      <c r="B9" s="1" t="str">
        <f>[1]Input!$C$8</f>
        <v>Germany (Top 12)</v>
      </c>
    </row>
    <row r="10" spans="1:2" ht="12.75" x14ac:dyDescent="0.2">
      <c r="B10" s="2" t="s">
        <v>8</v>
      </c>
    </row>
    <row r="11" spans="1:2" ht="12.75" x14ac:dyDescent="0.2">
      <c r="B11" s="2" t="s">
        <v>9</v>
      </c>
    </row>
    <row r="12" spans="1:2" ht="12.75" x14ac:dyDescent="0.2">
      <c r="B12" s="2" t="str">
        <f>VLOOKUP([1]Input!$C$4,'[1]&lt;Lookup&gt;'!$B$4:$E$15,4,FALSE)</f>
        <v>Mar_YTD</v>
      </c>
    </row>
    <row r="13" spans="1:2" ht="12.75" x14ac:dyDescent="0.2">
      <c r="B13" s="1" t="str">
        <f>VLOOKUP([1]Input!$C$2,'[1]&lt;Lookup&gt;'!$H$4:$J$20,2,FALSE)</f>
        <v>FY24</v>
      </c>
    </row>
    <row r="14" spans="1:2" ht="12.75" x14ac:dyDescent="0.2">
      <c r="B14" s="2" t="s">
        <v>10</v>
      </c>
    </row>
    <row r="15" spans="1:2" ht="12.75" x14ac:dyDescent="0.2">
      <c r="B15" s="2" t="s">
        <v>11</v>
      </c>
    </row>
    <row r="16" spans="1:2" ht="12.75" x14ac:dyDescent="0.2">
      <c r="A16" s="3" t="s">
        <v>12</v>
      </c>
      <c r="B16" s="4">
        <v>7080273.5393000003</v>
      </c>
    </row>
    <row r="17" spans="1:2" ht="12.75" x14ac:dyDescent="0.2">
      <c r="A17" s="5" t="s">
        <v>13</v>
      </c>
      <c r="B17" s="4">
        <v>0</v>
      </c>
    </row>
    <row r="18" spans="1:2" ht="12.75" x14ac:dyDescent="0.2">
      <c r="A18" s="3" t="s">
        <v>14</v>
      </c>
      <c r="B18" s="4">
        <v>11925043.7919</v>
      </c>
    </row>
    <row r="19" spans="1:2" ht="12.75" x14ac:dyDescent="0.2">
      <c r="A19" s="3" t="s">
        <v>15</v>
      </c>
      <c r="B19" s="4">
        <v>1673022.8374999999</v>
      </c>
    </row>
    <row r="20" spans="1:2" ht="12.75" x14ac:dyDescent="0.2">
      <c r="A20" s="3" t="s">
        <v>16</v>
      </c>
      <c r="B20" s="4">
        <v>111301833.8171</v>
      </c>
    </row>
    <row r="21" spans="1:2" ht="12.75" x14ac:dyDescent="0.2">
      <c r="A21" s="3" t="s">
        <v>17</v>
      </c>
      <c r="B21" s="4">
        <v>1486417.2110000001</v>
      </c>
    </row>
    <row r="22" spans="1:2" ht="12.75" x14ac:dyDescent="0.2">
      <c r="A22" s="3" t="s">
        <v>18</v>
      </c>
      <c r="B22" s="4">
        <v>24330151.449200001</v>
      </c>
    </row>
    <row r="23" spans="1:2" ht="12.75" x14ac:dyDescent="0.2">
      <c r="A23" s="3" t="s">
        <v>19</v>
      </c>
      <c r="B23" s="4">
        <v>429301.2242</v>
      </c>
    </row>
    <row r="24" spans="1:2" ht="12.75" x14ac:dyDescent="0.2">
      <c r="A24" s="3" t="s">
        <v>20</v>
      </c>
      <c r="B24" s="4">
        <v>2157674.2455000002</v>
      </c>
    </row>
    <row r="25" spans="1:2" ht="12.75" x14ac:dyDescent="0.2">
      <c r="A25" s="3" t="s">
        <v>21</v>
      </c>
      <c r="B25" s="4">
        <v>584343.42649999994</v>
      </c>
    </row>
    <row r="26" spans="1:2" ht="12.75" x14ac:dyDescent="0.2">
      <c r="A26" s="3" t="s">
        <v>22</v>
      </c>
      <c r="B26" s="4">
        <v>13754.455099999999</v>
      </c>
    </row>
    <row r="27" spans="1:2" ht="12.75" x14ac:dyDescent="0.2">
      <c r="A27" s="3" t="s">
        <v>23</v>
      </c>
      <c r="B27" s="4">
        <v>160981815.9973</v>
      </c>
    </row>
    <row r="28" spans="1:2" ht="12.75" x14ac:dyDescent="0.2">
      <c r="A28" s="3" t="s">
        <v>24</v>
      </c>
      <c r="B28" s="4">
        <v>-1.999999803956598E-4</v>
      </c>
    </row>
    <row r="29" spans="1:2" ht="12.75" x14ac:dyDescent="0.2">
      <c r="A29" s="3" t="s">
        <v>25</v>
      </c>
      <c r="B29" s="4">
        <v>-1.999999803956598E-4</v>
      </c>
    </row>
    <row r="30" spans="1:2" ht="12.75" x14ac:dyDescent="0.2">
      <c r="A30" s="6" t="s">
        <v>26</v>
      </c>
      <c r="B30" s="4">
        <v>119895.1961</v>
      </c>
    </row>
    <row r="31" spans="1:2" ht="12.75" x14ac:dyDescent="0.2">
      <c r="A31" s="7" t="s">
        <v>27</v>
      </c>
      <c r="B31" s="4">
        <v>70216.906499999997</v>
      </c>
    </row>
    <row r="32" spans="1:2" ht="12.75" x14ac:dyDescent="0.2">
      <c r="A32" s="3" t="s">
        <v>28</v>
      </c>
      <c r="B32" s="4">
        <v>1405.2265000000002</v>
      </c>
    </row>
    <row r="33" spans="1:2" ht="12.75" x14ac:dyDescent="0.2">
      <c r="A33" s="6" t="s">
        <v>29</v>
      </c>
      <c r="B33" s="4">
        <v>2895999.7558000004</v>
      </c>
    </row>
    <row r="34" spans="1:2" ht="12.75" x14ac:dyDescent="0.2">
      <c r="A34" s="8" t="s">
        <v>30</v>
      </c>
      <c r="B34" s="4">
        <v>46585130.925999999</v>
      </c>
    </row>
    <row r="35" spans="1:2" ht="12.75" x14ac:dyDescent="0.2">
      <c r="A35" s="5" t="s">
        <v>31</v>
      </c>
      <c r="B35" s="4">
        <v>5606168.7620000001</v>
      </c>
    </row>
    <row r="36" spans="1:2" ht="12.75" x14ac:dyDescent="0.2">
      <c r="A36" s="8" t="s">
        <v>32</v>
      </c>
      <c r="B36" s="4">
        <v>64377410.614200003</v>
      </c>
    </row>
    <row r="37" spans="1:2" ht="12.75" x14ac:dyDescent="0.2">
      <c r="A37" s="8" t="s">
        <v>33</v>
      </c>
      <c r="B37" s="4">
        <v>85511758.023599997</v>
      </c>
    </row>
    <row r="38" spans="1:2" ht="12.75" x14ac:dyDescent="0.2">
      <c r="A38" s="5" t="s">
        <v>34</v>
      </c>
      <c r="B38" s="4">
        <v>45317616.330900006</v>
      </c>
    </row>
    <row r="39" spans="1:2" ht="12.75" x14ac:dyDescent="0.2">
      <c r="A39" s="8" t="s">
        <v>35</v>
      </c>
      <c r="B39" s="4">
        <v>250485601.74160001</v>
      </c>
    </row>
    <row r="40" spans="1:2" x14ac:dyDescent="0.2">
      <c r="A40" s="9" t="s">
        <v>36</v>
      </c>
      <c r="B40" s="4">
        <v>1122892.4849</v>
      </c>
    </row>
    <row r="41" spans="1:2" ht="12.75" x14ac:dyDescent="0.2">
      <c r="A41" s="8" t="s">
        <v>37</v>
      </c>
      <c r="B41" s="4">
        <v>20914.903699999999</v>
      </c>
    </row>
    <row r="42" spans="1:2" ht="12.75" x14ac:dyDescent="0.2">
      <c r="A42" s="8" t="s">
        <v>38</v>
      </c>
      <c r="B42" s="4">
        <v>138214.5024</v>
      </c>
    </row>
    <row r="43" spans="1:2" ht="12.75" x14ac:dyDescent="0.2">
      <c r="A43" s="8" t="s">
        <v>39</v>
      </c>
      <c r="B43" s="4">
        <v>399819.32720000006</v>
      </c>
    </row>
    <row r="44" spans="1:2" x14ac:dyDescent="0.2">
      <c r="A44" s="10" t="s">
        <v>40</v>
      </c>
      <c r="B44" s="4">
        <v>8529489.847000001</v>
      </c>
    </row>
    <row r="45" spans="1:2" ht="12.75" x14ac:dyDescent="0.2">
      <c r="A45" s="8" t="s">
        <v>41</v>
      </c>
      <c r="B45" s="4">
        <v>5105411.517</v>
      </c>
    </row>
    <row r="46" spans="1:2" ht="12.75" x14ac:dyDescent="0.2">
      <c r="A46" s="8" t="s">
        <v>42</v>
      </c>
      <c r="B46" s="4">
        <v>0</v>
      </c>
    </row>
    <row r="47" spans="1:2" ht="12.75" x14ac:dyDescent="0.2">
      <c r="A47" s="8" t="s">
        <v>43</v>
      </c>
      <c r="B47" s="4">
        <v>0</v>
      </c>
    </row>
    <row r="48" spans="1:2" ht="12.75" x14ac:dyDescent="0.2">
      <c r="A48" s="8" t="s">
        <v>44</v>
      </c>
      <c r="B48" s="4">
        <v>1286741.0996000001</v>
      </c>
    </row>
    <row r="49" spans="1:2" ht="12.75" x14ac:dyDescent="0.2">
      <c r="A49" s="8" t="s">
        <v>45</v>
      </c>
      <c r="B49" s="4">
        <v>4376105.0976999998</v>
      </c>
    </row>
    <row r="50" spans="1:2" ht="12.75" x14ac:dyDescent="0.2">
      <c r="A50" s="8" t="s">
        <v>46</v>
      </c>
      <c r="B50" s="4">
        <v>4606939.7936000004</v>
      </c>
    </row>
    <row r="51" spans="1:2" ht="12.75" x14ac:dyDescent="0.2">
      <c r="A51" s="8" t="s">
        <v>47</v>
      </c>
      <c r="B51" s="4">
        <v>209882.85810000001</v>
      </c>
    </row>
    <row r="52" spans="1:2" ht="12.75" x14ac:dyDescent="0.2">
      <c r="A52" s="8" t="s">
        <v>48</v>
      </c>
      <c r="B52" s="4">
        <v>41252.110700000005</v>
      </c>
    </row>
    <row r="53" spans="1:2" ht="12.75" x14ac:dyDescent="0.2">
      <c r="A53" s="5" t="s">
        <v>49</v>
      </c>
      <c r="B53" s="4">
        <v>222305.8725</v>
      </c>
    </row>
    <row r="54" spans="1:2" x14ac:dyDescent="0.2">
      <c r="A54" s="9" t="s">
        <v>50</v>
      </c>
      <c r="B54" s="4">
        <v>220376.81950000001</v>
      </c>
    </row>
    <row r="55" spans="1:2" ht="12.75" x14ac:dyDescent="0.2">
      <c r="A55" s="5" t="s">
        <v>51</v>
      </c>
      <c r="B55" s="4">
        <v>7678117.1623000009</v>
      </c>
    </row>
    <row r="56" spans="1:2" ht="12.75" x14ac:dyDescent="0.2">
      <c r="A56" s="6" t="s">
        <v>52</v>
      </c>
      <c r="B56" s="4">
        <v>6076230.8026000019</v>
      </c>
    </row>
    <row r="57" spans="1:2" ht="12.75" x14ac:dyDescent="0.2">
      <c r="A57" s="6" t="s">
        <v>53</v>
      </c>
      <c r="B57" s="4">
        <v>40034694.198799998</v>
      </c>
    </row>
    <row r="58" spans="1:2" ht="12.75" x14ac:dyDescent="0.2">
      <c r="A58" s="3" t="s">
        <v>54</v>
      </c>
      <c r="B58" s="4">
        <v>-55218.507000000012</v>
      </c>
    </row>
    <row r="59" spans="1:2" ht="12.75" x14ac:dyDescent="0.2">
      <c r="A59" s="8" t="s">
        <v>55</v>
      </c>
      <c r="B59" s="4">
        <v>12646177.418299999</v>
      </c>
    </row>
    <row r="60" spans="1:2" ht="12.75" x14ac:dyDescent="0.2">
      <c r="A60" s="6" t="s">
        <v>56</v>
      </c>
      <c r="B60" s="4">
        <v>-13867.664300000033</v>
      </c>
    </row>
    <row r="61" spans="1:2" ht="12.75" x14ac:dyDescent="0.2">
      <c r="A61" s="8" t="s">
        <v>57</v>
      </c>
      <c r="B61" s="4">
        <v>12577091.247</v>
      </c>
    </row>
    <row r="62" spans="1:2" ht="12.75" x14ac:dyDescent="0.2">
      <c r="A62" s="11" t="s">
        <v>58</v>
      </c>
      <c r="B62" s="4">
        <v>464079203.20590001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Ananthram Sreenivas</dc:creator>
  <cp:lastModifiedBy>Ananthram Sreenivas</cp:lastModifiedBy>
  <dcterms:created xsi:type="dcterms:W3CDTF">2024-08-12T09:57:02Z</dcterms:created>
  <dcterms:modified xsi:type="dcterms:W3CDTF">2024-08-23T06:37:24Z</dcterms:modified>
</cp:coreProperties>
</file>