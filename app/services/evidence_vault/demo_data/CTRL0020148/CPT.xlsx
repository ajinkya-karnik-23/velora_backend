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nth\work\Gautam\AstraZeneca\ajinkya\rules_builder\AZ demo files\CTRL0020148\"/>
    </mc:Choice>
  </mc:AlternateContent>
  <xr:revisionPtr revIDLastSave="0" documentId="13_ncr:1_{DD52DC3F-7A93-4E35-953A-8CD100FB8736}" xr6:coauthVersionLast="47" xr6:coauthVersionMax="47" xr10:uidLastSave="{00000000-0000-0000-0000-000000000000}"/>
  <bookViews>
    <workbookView xWindow="-120" yWindow="-120" windowWidth="29040" windowHeight="15840" xr2:uid="{41739D18-D7F2-4A8B-9DE8-52B88468DB59}"/>
  </bookViews>
  <sheets>
    <sheet name="Sheet1" sheetId="1" r:id="rId1"/>
  </sheets>
  <externalReferences>
    <externalReference r:id="rId2"/>
    <externalReference r:id="rId3"/>
  </externalReferences>
  <definedNames>
    <definedName name="CIQWBGuid" hidden="1">"c86581c5-7e76-4a37-86bf-e8ef0fe50891"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1" l="1"/>
  <c r="C103" i="1"/>
  <c r="A94" i="1"/>
  <c r="G93" i="1"/>
  <c r="C59" i="1"/>
  <c r="C104" i="1" s="1"/>
  <c r="E27" i="1"/>
  <c r="C27" i="1"/>
  <c r="F2" i="1"/>
  <c r="D2" i="1"/>
  <c r="B2" i="1"/>
  <c r="D59" i="1" l="1"/>
  <c r="D60" i="1"/>
  <c r="D60" i="1" a="1"/>
  <c r="D9" i="1"/>
  <c r="D10" i="1"/>
  <c r="D10" i="1" a="1"/>
  <c r="G76" i="1"/>
  <c r="B76" i="1"/>
  <c r="D76" i="1"/>
  <c r="D77" i="1"/>
  <c r="D77" i="1" a="1"/>
  <c r="D38" i="1"/>
  <c r="D39" i="1"/>
  <c r="D39" i="1" a="1"/>
  <c r="D6" i="1"/>
  <c r="D7" i="1"/>
  <c r="D7" i="1" a="1"/>
  <c r="F91" i="1"/>
  <c r="B92" i="1"/>
  <c r="B91" i="1"/>
  <c r="G91" i="1"/>
  <c r="D27" i="1"/>
  <c r="D28" i="1"/>
  <c r="D28" i="1" a="1"/>
  <c r="D55" i="1"/>
  <c r="D56" i="1"/>
  <c r="D56" i="1" a="1"/>
  <c r="G80" i="1"/>
  <c r="B80" i="1"/>
  <c r="B80" i="1" a="1"/>
  <c r="F80" i="1"/>
  <c r="G29" i="1"/>
  <c r="B29" i="1"/>
  <c r="F29" i="1"/>
  <c r="G44" i="1"/>
  <c r="B44" i="1"/>
  <c r="B44" i="1" a="1"/>
  <c r="F44" i="1"/>
  <c r="D15" i="1"/>
  <c r="F67" i="1"/>
  <c r="B67" i="1"/>
  <c r="B67" i="1" a="1"/>
  <c r="G67" i="1"/>
  <c r="G83" i="1"/>
  <c r="B83" i="1"/>
  <c r="B83" i="1" a="1"/>
  <c r="F83" i="1"/>
  <c r="D3" i="1"/>
  <c r="D4" i="1"/>
  <c r="D4" i="1" a="1"/>
  <c r="F51" i="1"/>
  <c r="B51" i="1"/>
  <c r="B51" i="1" a="1"/>
  <c r="G51" i="1"/>
  <c r="G45" i="1"/>
  <c r="B46" i="1"/>
  <c r="B45" i="1"/>
  <c r="F45" i="1"/>
  <c r="F48" i="1"/>
  <c r="B48" i="1"/>
  <c r="B48" i="1" a="1"/>
  <c r="G48" i="1"/>
  <c r="D94" i="1"/>
  <c r="F90" i="1"/>
  <c r="B90" i="1"/>
  <c r="B90" i="1" a="1"/>
  <c r="G90" i="1"/>
  <c r="G41" i="1"/>
  <c r="B41" i="1"/>
  <c r="B41" i="1" a="1"/>
  <c r="F41" i="1"/>
  <c r="D99" i="1"/>
  <c r="D100" i="1"/>
  <c r="D100" i="1" a="1"/>
  <c r="B100" i="1"/>
  <c r="D65" i="1"/>
  <c r="D63" i="1"/>
  <c r="D63" i="1" a="1"/>
  <c r="G71" i="1"/>
  <c r="B71" i="1"/>
  <c r="B71" i="1" a="1"/>
  <c r="F71" i="1"/>
  <c r="D12" i="1"/>
  <c r="D13" i="1"/>
  <c r="D13" i="1" a="1"/>
  <c r="D32" i="1"/>
  <c r="D33" i="1"/>
  <c r="D33" i="1" a="1"/>
  <c r="F70" i="1"/>
  <c r="B70" i="1"/>
  <c r="B70" i="1" a="1"/>
  <c r="G70" i="1"/>
  <c r="G79" i="1"/>
  <c r="B79" i="1"/>
  <c r="B79" i="1" a="1"/>
  <c r="F79" i="1"/>
  <c r="F34" i="1"/>
  <c r="B34" i="1"/>
  <c r="B34" i="1" a="1"/>
  <c r="G34" i="1"/>
  <c r="F32" i="1"/>
  <c r="B33" i="1"/>
  <c r="B32" i="1"/>
  <c r="G32" i="1"/>
  <c r="F78" i="1"/>
  <c r="B78" i="1"/>
  <c r="B78" i="1" a="1"/>
  <c r="G78" i="1"/>
  <c r="G4" i="1"/>
  <c r="F4" i="1"/>
  <c r="F55" i="1"/>
  <c r="B56" i="1"/>
  <c r="B55" i="1"/>
  <c r="G55" i="1"/>
  <c r="G8" i="1"/>
  <c r="B8" i="1"/>
  <c r="B8" i="1" a="1"/>
  <c r="F8" i="1"/>
  <c r="G104" i="1"/>
  <c r="B104" i="1"/>
  <c r="B94" i="1"/>
  <c r="B77" i="1"/>
  <c r="G27" i="1"/>
  <c r="B27" i="1"/>
  <c r="B28" i="1"/>
  <c r="G89" i="1"/>
  <c r="B89" i="1"/>
  <c r="B89" i="1" a="1"/>
  <c r="F89" i="1"/>
  <c r="F62" i="1"/>
  <c r="B62" i="1"/>
  <c r="B62" i="1" a="1"/>
  <c r="G62" i="1"/>
  <c r="F9" i="1"/>
  <c r="B10" i="1"/>
  <c r="B9" i="1"/>
  <c r="G9" i="1"/>
  <c r="G28" i="1"/>
  <c r="G23" i="1"/>
  <c r="B23" i="1"/>
  <c r="B23" i="1" a="1"/>
  <c r="F23" i="1"/>
  <c r="B15" i="1"/>
  <c r="F88" i="1"/>
  <c r="B88" i="1"/>
  <c r="B88" i="1" a="1"/>
  <c r="G88" i="1"/>
  <c r="G38" i="1"/>
  <c r="B38" i="1"/>
  <c r="F38" i="1"/>
  <c r="G54" i="1"/>
  <c r="B54" i="1"/>
  <c r="B54" i="1" a="1"/>
  <c r="F54" i="1"/>
  <c r="F36" i="1"/>
  <c r="B36" i="1"/>
  <c r="B36" i="1" a="1"/>
  <c r="G36" i="1"/>
  <c r="G99" i="1"/>
  <c r="B99" i="1"/>
  <c r="F99" i="1"/>
  <c r="G73" i="1"/>
  <c r="B73" i="1"/>
  <c r="B73" i="1" a="1"/>
  <c r="F73" i="1"/>
  <c r="G69" i="1"/>
  <c r="B69" i="1"/>
  <c r="B69" i="1" a="1"/>
  <c r="F69" i="1"/>
  <c r="G65" i="1"/>
  <c r="B63" i="1"/>
  <c r="B65" i="1"/>
  <c r="F65" i="1"/>
  <c r="B4" i="1"/>
  <c r="G74" i="1"/>
  <c r="B74" i="1"/>
  <c r="B74" i="1" a="1"/>
  <c r="F74" i="1"/>
  <c r="F85" i="1"/>
  <c r="B85" i="1"/>
  <c r="B85" i="1" a="1"/>
  <c r="G85" i="1"/>
  <c r="G24" i="1"/>
  <c r="B24" i="1"/>
  <c r="B24" i="1" a="1"/>
  <c r="F24" i="1"/>
  <c r="G43" i="1"/>
  <c r="B43" i="1"/>
  <c r="B43" i="1" a="1"/>
  <c r="F43" i="1"/>
  <c r="F22" i="1"/>
  <c r="B22" i="1"/>
  <c r="B22" i="1" a="1"/>
  <c r="G22" i="1"/>
  <c r="G35" i="1"/>
  <c r="B35" i="1"/>
  <c r="B35" i="1" a="1"/>
  <c r="F35" i="1"/>
  <c r="B39" i="1"/>
  <c r="F33" i="1"/>
  <c r="B33" i="1" a="1"/>
  <c r="G33" i="1"/>
  <c r="G102" i="1"/>
  <c r="D91" i="1"/>
  <c r="D92" i="1"/>
  <c r="D92" i="1" a="1"/>
  <c r="F11" i="1"/>
  <c r="B11" i="1"/>
  <c r="B11" i="1" a="1"/>
  <c r="G11" i="1"/>
  <c r="G60" i="1"/>
  <c r="B60" i="1"/>
  <c r="F60" i="1"/>
  <c r="F26" i="1"/>
  <c r="B26" i="1"/>
  <c r="B26" i="1" a="1"/>
  <c r="G26" i="1"/>
  <c r="F40" i="1"/>
  <c r="B40" i="1"/>
  <c r="B40" i="1" a="1"/>
  <c r="G40" i="1"/>
  <c r="G57" i="1"/>
  <c r="B57" i="1"/>
  <c r="B57" i="1" a="1"/>
  <c r="F57" i="1"/>
  <c r="B103" i="1"/>
  <c r="G103" i="1"/>
  <c r="B28" i="1" a="1"/>
  <c r="F28" i="1"/>
  <c r="F27" i="1"/>
  <c r="G64" i="1"/>
  <c r="B64" i="1"/>
  <c r="B64" i="1" a="1"/>
  <c r="F64" i="1"/>
  <c r="F31" i="1"/>
  <c r="B31" i="1"/>
  <c r="B31" i="1" a="1"/>
  <c r="G31" i="1"/>
  <c r="G82" i="1"/>
  <c r="B82" i="1"/>
  <c r="B82" i="1" a="1"/>
  <c r="F82" i="1"/>
  <c r="G12" i="1"/>
  <c r="B13" i="1"/>
  <c r="B12" i="1"/>
  <c r="F12" i="1"/>
  <c r="F52" i="1"/>
  <c r="B52" i="1"/>
  <c r="B52" i="1" a="1"/>
  <c r="G52" i="1"/>
  <c r="B30" i="1"/>
  <c r="G6" i="1"/>
  <c r="B7" i="1"/>
  <c r="B6" i="1"/>
  <c r="F6" i="1"/>
  <c r="F16" i="1"/>
  <c r="B16" i="1"/>
  <c r="B16" i="1" a="1"/>
  <c r="G16" i="1"/>
  <c r="F25" i="1"/>
  <c r="B25" i="1"/>
  <c r="B25" i="1" a="1"/>
  <c r="G25" i="1"/>
  <c r="G3" i="1"/>
  <c r="B4" i="1" a="1"/>
  <c r="B3" i="1"/>
  <c r="F3" i="1"/>
  <c r="F97" i="1"/>
  <c r="B97" i="1"/>
  <c r="D97" i="1"/>
  <c r="D97" i="1" a="1"/>
  <c r="B97" i="1" a="1"/>
  <c r="G97" i="1"/>
  <c r="F56" i="1"/>
  <c r="B56" i="1" a="1"/>
  <c r="G56" i="1"/>
  <c r="G39" i="1"/>
  <c r="B39" i="1" a="1"/>
  <c r="F39" i="1"/>
  <c r="D96" i="1"/>
  <c r="D96" i="1" a="1"/>
  <c r="B96" i="1"/>
  <c r="G96" i="1"/>
  <c r="B96" i="1" a="1"/>
  <c r="F96" i="1"/>
  <c r="F5" i="1"/>
  <c r="B5" i="1"/>
  <c r="B5" i="1" a="1"/>
  <c r="G5" i="1"/>
  <c r="F104" i="1"/>
  <c r="B102" i="1"/>
  <c r="F102" i="1"/>
  <c r="F103" i="1"/>
  <c r="F50" i="1"/>
  <c r="B50" i="1"/>
  <c r="B50" i="1" a="1"/>
  <c r="G50" i="1"/>
  <c r="G63" i="1"/>
  <c r="B63" i="1" a="1"/>
  <c r="F63" i="1"/>
  <c r="F76" i="1"/>
  <c r="F77" i="1"/>
  <c r="F19" i="1"/>
  <c r="B19" i="1"/>
  <c r="B19" i="1" a="1"/>
  <c r="G19" i="1"/>
  <c r="F66" i="1"/>
  <c r="B66" i="1"/>
  <c r="B66" i="1" a="1"/>
  <c r="G66" i="1"/>
  <c r="G20" i="1"/>
  <c r="B20" i="1"/>
  <c r="B20" i="1" a="1"/>
  <c r="F20" i="1"/>
  <c r="F98" i="1"/>
  <c r="B98" i="1"/>
  <c r="G98" i="1"/>
  <c r="D98" i="1"/>
  <c r="B98" i="1" a="1"/>
  <c r="D98" i="1" a="1"/>
  <c r="G68" i="1"/>
  <c r="B68" i="1"/>
  <c r="B68" i="1" a="1"/>
  <c r="F68" i="1"/>
  <c r="F47" i="1"/>
  <c r="B47" i="1"/>
  <c r="B47" i="1" a="1"/>
  <c r="G47" i="1"/>
  <c r="G46" i="1"/>
  <c r="B46" i="1" a="1"/>
  <c r="F46" i="1"/>
  <c r="F13" i="1"/>
  <c r="B13" i="1" a="1"/>
  <c r="G13" i="1"/>
  <c r="F58" i="1"/>
  <c r="B58" i="1"/>
  <c r="B58" i="1" a="1"/>
  <c r="G58" i="1"/>
  <c r="G37" i="1"/>
  <c r="B37" i="1"/>
  <c r="B37" i="1" a="1"/>
  <c r="F37" i="1"/>
  <c r="F81" i="1"/>
  <c r="B81" i="1"/>
  <c r="B81" i="1" a="1"/>
  <c r="G81" i="1"/>
  <c r="F92" i="1"/>
  <c r="B92" i="1" a="1"/>
  <c r="G92" i="1"/>
  <c r="G30" i="1"/>
  <c r="B30" i="1" a="1"/>
  <c r="F30" i="1"/>
  <c r="G7" i="1"/>
  <c r="B7" i="1" a="1"/>
  <c r="F7" i="1"/>
  <c r="F100" i="1"/>
  <c r="B100" i="1" a="1"/>
  <c r="G100" i="1"/>
  <c r="G42" i="1"/>
  <c r="B42" i="1"/>
  <c r="B42" i="1" a="1"/>
  <c r="F42" i="1"/>
  <c r="F87" i="1"/>
  <c r="B87" i="1"/>
  <c r="B87" i="1" a="1"/>
  <c r="G87" i="1"/>
  <c r="G61" i="1"/>
  <c r="B61" i="1"/>
  <c r="B61" i="1" a="1"/>
  <c r="F61" i="1"/>
  <c r="F84" i="1"/>
  <c r="B84" i="1"/>
  <c r="B84" i="1" a="1"/>
  <c r="G84" i="1"/>
  <c r="D103" i="1"/>
  <c r="D94" i="1" a="1"/>
  <c r="D102" i="1"/>
  <c r="D104" i="1"/>
  <c r="D45" i="1"/>
  <c r="D46" i="1"/>
  <c r="D46" i="1" a="1"/>
  <c r="B77" i="1" a="1"/>
  <c r="G77" i="1"/>
  <c r="F10" i="1"/>
  <c r="B10" i="1" a="1"/>
  <c r="G10" i="1"/>
  <c r="F86" i="1"/>
  <c r="B86" i="1"/>
  <c r="B86" i="1" a="1"/>
  <c r="G86" i="1"/>
  <c r="F17" i="1"/>
  <c r="B17" i="1"/>
  <c r="B17" i="1" a="1"/>
  <c r="G17" i="1"/>
  <c r="G49" i="1"/>
  <c r="B49" i="1"/>
  <c r="B49" i="1" a="1"/>
  <c r="F49" i="1"/>
  <c r="G75" i="1"/>
  <c r="B75" i="1"/>
  <c r="B75" i="1" a="1"/>
  <c r="F75" i="1"/>
  <c r="G53" i="1"/>
  <c r="B53" i="1"/>
  <c r="B53" i="1" a="1"/>
  <c r="F53" i="1"/>
  <c r="F21" i="1"/>
  <c r="B21" i="1"/>
  <c r="B21" i="1" a="1"/>
  <c r="G21" i="1"/>
  <c r="G18" i="1"/>
  <c r="B18" i="1"/>
  <c r="B18" i="1" a="1"/>
  <c r="F18" i="1"/>
  <c r="G72" i="1"/>
  <c r="B72" i="1"/>
  <c r="B72" i="1" a="1"/>
  <c r="F72" i="1"/>
  <c r="G59" i="1"/>
  <c r="B60" i="1" a="1"/>
  <c r="B59" i="1"/>
  <c r="F59" i="1"/>
  <c r="G94" i="1"/>
  <c r="B94" i="1" a="1"/>
  <c r="F94" i="1"/>
  <c r="F14" i="1"/>
  <c r="B14" i="1"/>
  <c r="B14" i="1" a="1"/>
  <c r="G14" i="1"/>
  <c r="D57" i="1"/>
  <c r="D57" i="1" a="1"/>
  <c r="D41" i="1"/>
  <c r="D41" i="1" a="1"/>
  <c r="D5" i="1"/>
  <c r="D5" i="1" a="1"/>
  <c r="D18" i="1"/>
  <c r="D18" i="1" a="1"/>
  <c r="D21" i="1"/>
  <c r="D21" i="1" a="1"/>
  <c r="D49" i="1"/>
  <c r="D49" i="1" a="1"/>
  <c r="D88" i="1"/>
  <c r="D88" i="1" a="1"/>
  <c r="D44" i="1"/>
  <c r="D44" i="1" a="1"/>
  <c r="D11" i="1"/>
  <c r="D11" i="1" a="1"/>
  <c r="D85" i="1"/>
  <c r="D85" i="1" a="1"/>
  <c r="D51" i="1"/>
  <c r="D51" i="1" a="1"/>
  <c r="D25" i="1"/>
  <c r="D25" i="1" a="1"/>
  <c r="D35" i="1"/>
  <c r="D35" i="1" a="1"/>
  <c r="D22" i="1"/>
  <c r="D22" i="1" a="1"/>
  <c r="D52" i="1"/>
  <c r="D52" i="1" a="1"/>
  <c r="D73" i="1"/>
  <c r="D73" i="1" a="1"/>
  <c r="D69" i="1"/>
  <c r="D69" i="1" a="1"/>
  <c r="D90" i="1"/>
  <c r="D90" i="1" a="1"/>
  <c r="D47" i="1"/>
  <c r="D47" i="1" a="1"/>
  <c r="D71" i="1"/>
  <c r="D71" i="1" a="1"/>
  <c r="D17" i="1"/>
  <c r="D17" i="1" a="1"/>
  <c r="D64" i="1"/>
  <c r="D64" i="1" a="1"/>
  <c r="D79" i="1"/>
  <c r="D79" i="1" a="1"/>
  <c r="D66" i="1"/>
  <c r="D66" i="1" a="1"/>
  <c r="D54" i="1"/>
  <c r="D54" i="1" a="1"/>
  <c r="D19" i="1"/>
  <c r="D19" i="1" a="1"/>
  <c r="D70" i="1"/>
  <c r="D70" i="1" a="1"/>
  <c r="D68" i="1"/>
  <c r="D68" i="1" a="1"/>
  <c r="D82" i="1"/>
  <c r="D82" i="1" a="1"/>
  <c r="D50" i="1"/>
  <c r="D50" i="1" a="1"/>
  <c r="D87" i="1"/>
  <c r="D87" i="1" a="1"/>
  <c r="D23" i="1"/>
  <c r="D23" i="1" a="1"/>
  <c r="D16" i="1"/>
  <c r="D16" i="1" a="1"/>
  <c r="D81" i="1"/>
  <c r="D81" i="1" a="1"/>
  <c r="D48" i="1"/>
  <c r="D48" i="1" a="1"/>
  <c r="D40" i="1"/>
  <c r="D40" i="1" a="1"/>
  <c r="D24" i="1"/>
  <c r="D24" i="1" a="1"/>
  <c r="D67" i="1"/>
  <c r="D67" i="1" a="1"/>
  <c r="D89" i="1"/>
  <c r="D89" i="1" a="1"/>
  <c r="D86" i="1"/>
  <c r="D86" i="1" a="1"/>
  <c r="D31" i="1"/>
  <c r="D31" i="1" a="1"/>
  <c r="D8" i="1"/>
  <c r="D8" i="1" a="1"/>
  <c r="D84" i="1"/>
  <c r="D84" i="1" a="1"/>
  <c r="D34" i="1"/>
  <c r="D34" i="1" a="1"/>
  <c r="D30" i="1"/>
  <c r="D83" i="1"/>
  <c r="D83" i="1" a="1"/>
  <c r="D75" i="1"/>
  <c r="D75" i="1" a="1"/>
  <c r="D62" i="1"/>
  <c r="D62" i="1" a="1"/>
  <c r="D14" i="1"/>
  <c r="D14" i="1" a="1"/>
  <c r="D58" i="1"/>
  <c r="D58" i="1" a="1"/>
  <c r="D74" i="1"/>
  <c r="D74" i="1" a="1"/>
  <c r="D72" i="1"/>
  <c r="D72" i="1" a="1"/>
  <c r="D43" i="1"/>
  <c r="D43" i="1" a="1"/>
  <c r="D42" i="1"/>
  <c r="D42" i="1" a="1"/>
  <c r="D26" i="1"/>
  <c r="D26" i="1" a="1"/>
  <c r="D80" i="1"/>
  <c r="D80" i="1" a="1"/>
  <c r="D61" i="1"/>
  <c r="D61" i="1" a="1"/>
  <c r="D53" i="1"/>
  <c r="D53" i="1" a="1"/>
  <c r="D78" i="1"/>
  <c r="D78" i="1" a="1"/>
  <c r="D20" i="1"/>
  <c r="D20" i="1" a="1"/>
  <c r="D37" i="1"/>
  <c r="D37" i="1" a="1"/>
  <c r="D36" i="1"/>
  <c r="D36" i="1" a="1"/>
  <c r="F15" i="1"/>
  <c r="B15" i="1" a="1"/>
  <c r="G15" i="1"/>
  <c r="D15" i="1" a="1"/>
  <c r="D30" i="1" a="1"/>
  <c r="D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<sst xmlns="http://schemas.openxmlformats.org/spreadsheetml/2006/main" count="126" uniqueCount="123">
  <si>
    <t>in USD</t>
  </si>
  <si>
    <t>Actual</t>
  </si>
  <si>
    <t>PY Actual</t>
  </si>
  <si>
    <t>Actual vs PY</t>
  </si>
  <si>
    <t>Brilinta/Brilique</t>
  </si>
  <si>
    <t>Brilinta</t>
  </si>
  <si>
    <t>Brilinta Dispersible</t>
  </si>
  <si>
    <t>Onglyza Franchise</t>
  </si>
  <si>
    <t>Onglyza</t>
  </si>
  <si>
    <t>Kombiglyze</t>
  </si>
  <si>
    <t>Forxiga Franchise</t>
  </si>
  <si>
    <t>Farxiga</t>
  </si>
  <si>
    <t>Xigduo</t>
  </si>
  <si>
    <t>Exenatide Total</t>
  </si>
  <si>
    <t>Bydureon Dual Chamber Pen</t>
  </si>
  <si>
    <t>Bydureon Auto-Injector</t>
  </si>
  <si>
    <t>Byetta</t>
  </si>
  <si>
    <t>Symlin</t>
  </si>
  <si>
    <t>Qtern</t>
  </si>
  <si>
    <t>Epanova</t>
  </si>
  <si>
    <t>Lokelma</t>
  </si>
  <si>
    <t>Saxa+dapa+metformin</t>
  </si>
  <si>
    <t>Roxadustat</t>
  </si>
  <si>
    <t>Crestor</t>
  </si>
  <si>
    <t>Plendil</t>
  </si>
  <si>
    <t>Andexxa</t>
  </si>
  <si>
    <t>Eplontersen</t>
  </si>
  <si>
    <t xml:space="preserve">Unallocated CVRM </t>
  </si>
  <si>
    <t>Other CVRM</t>
  </si>
  <si>
    <t>CVRM</t>
  </si>
  <si>
    <t>Symbicort</t>
  </si>
  <si>
    <t>Symbicort Turbuhaler</t>
  </si>
  <si>
    <t>Symbicort pMDI</t>
  </si>
  <si>
    <t>Pulmicort</t>
  </si>
  <si>
    <t>Pulmicort Respules</t>
  </si>
  <si>
    <t>Pulmicort Turbuhaler</t>
  </si>
  <si>
    <t>Eklira/Tudorza</t>
  </si>
  <si>
    <t>Daliresp</t>
  </si>
  <si>
    <t>Duaklir</t>
  </si>
  <si>
    <t>Fasenra</t>
  </si>
  <si>
    <t>Fasenra Prefilled Syringe</t>
  </si>
  <si>
    <t>Fasenra Pen</t>
  </si>
  <si>
    <t>Bevespi</t>
  </si>
  <si>
    <t>Euphyllin</t>
  </si>
  <si>
    <t>Euphylong</t>
  </si>
  <si>
    <t>Respicur</t>
  </si>
  <si>
    <t>Bricanyl</t>
  </si>
  <si>
    <t>Bricanyl Respules</t>
  </si>
  <si>
    <t>Bricanyl Turbuhaler</t>
  </si>
  <si>
    <t>Bricanyl IV</t>
  </si>
  <si>
    <t>Fluimucil</t>
  </si>
  <si>
    <t>Oxis</t>
  </si>
  <si>
    <t>Trixeo</t>
  </si>
  <si>
    <t>Saphnelo Family</t>
  </si>
  <si>
    <t>Tezspire Family</t>
  </si>
  <si>
    <t>Unallocated Respiratory &amp; Immunology</t>
  </si>
  <si>
    <t>Other Respiratory &amp; Immunology</t>
  </si>
  <si>
    <t>Respiratory &amp; Immunology &amp; Immunology</t>
  </si>
  <si>
    <t>Synagis</t>
  </si>
  <si>
    <t>Evusheld</t>
  </si>
  <si>
    <t>Other Vaccines &amp; Immune Therapies</t>
  </si>
  <si>
    <t>Vaccines &amp; Immune Therapies</t>
  </si>
  <si>
    <t>Lynparza</t>
  </si>
  <si>
    <t>Tagrisso</t>
  </si>
  <si>
    <t>Imfinzi</t>
  </si>
  <si>
    <t>Imfinzi and tremelimumab</t>
  </si>
  <si>
    <t>Imfinzi Total</t>
  </si>
  <si>
    <t>Imjudo</t>
  </si>
  <si>
    <t>Calquence</t>
  </si>
  <si>
    <t>Faslodex</t>
  </si>
  <si>
    <t>Iressa</t>
  </si>
  <si>
    <t>Zoladex</t>
  </si>
  <si>
    <t>Casodex</t>
  </si>
  <si>
    <t>Arimidex</t>
  </si>
  <si>
    <t>Nolvadex</t>
  </si>
  <si>
    <t>Zytiga</t>
  </si>
  <si>
    <t>Unallocated Oncology</t>
  </si>
  <si>
    <t>Other Onc.</t>
  </si>
  <si>
    <t>Oncology</t>
  </si>
  <si>
    <t>Zomig</t>
  </si>
  <si>
    <t>Vimovo</t>
  </si>
  <si>
    <t>Seroquel XR</t>
  </si>
  <si>
    <t>Seroquel IR</t>
  </si>
  <si>
    <t>FluMist/Fluenz</t>
  </si>
  <si>
    <t>Alvesco</t>
  </si>
  <si>
    <t>Omnaris</t>
  </si>
  <si>
    <t>Rhinocort Aqua</t>
  </si>
  <si>
    <t>Rhinocort Powder</t>
  </si>
  <si>
    <t>Movantik / Moventig</t>
  </si>
  <si>
    <t>Neuroscience Unallocated</t>
  </si>
  <si>
    <t>Infection Unallocated</t>
  </si>
  <si>
    <t>Gastrointestinal Unallocated</t>
  </si>
  <si>
    <t>Other Brands</t>
  </si>
  <si>
    <t>Other Medicines</t>
  </si>
  <si>
    <t>Beyfortus</t>
  </si>
  <si>
    <t>Enhertu</t>
  </si>
  <si>
    <t>Other</t>
  </si>
  <si>
    <t>Collaboration Revenue</t>
  </si>
  <si>
    <t>Total Revenue</t>
  </si>
  <si>
    <t>in EUR check</t>
  </si>
  <si>
    <t>check</t>
  </si>
  <si>
    <t>RX</t>
  </si>
  <si>
    <t>Comment</t>
  </si>
  <si>
    <t>see below</t>
  </si>
  <si>
    <t>MS decline within OAP market and unfavourable price effect due to increased compulsory rebate since Jan 23</t>
  </si>
  <si>
    <t>continuous market growth, higher share, also driven by new HFpEF indication</t>
  </si>
  <si>
    <t>T2D performance within SGLT2i class</t>
  </si>
  <si>
    <t>Increasing market share, continuious growth</t>
  </si>
  <si>
    <t>Business expansion since transition from Alexion to AZ Germany in August 22</t>
  </si>
  <si>
    <t>end of various sick funds and increase import share</t>
  </si>
  <si>
    <t>volume driven</t>
  </si>
  <si>
    <t>Continuous volume growth</t>
  </si>
  <si>
    <t>Continuous volume growth (Launched 11/2022)</t>
  </si>
  <si>
    <t xml:space="preserve">Beyfortus impact </t>
  </si>
  <si>
    <t>Downside vs. PY due to new Covid variants</t>
  </si>
  <si>
    <t>Price erosion with launch of new indication. -$5m additional clawback accrual relating to 2023 after conclusion of price negotiation.</t>
  </si>
  <si>
    <t>Continuous volume growth.</t>
  </si>
  <si>
    <t>Strong volume growth driven by launch of TOPAZ-1, HIMALAYA and POSEIDON indications.</t>
  </si>
  <si>
    <t>Strong volume growth driven by launch of TOPAZ-1, HIMALAYA and POSEIDON indications. In addition one time effect of +$10.5m relating to 2023 after completing price negotiation.</t>
  </si>
  <si>
    <t>Product launched in March 2023. One time effect of $1.4m relating to 2023 after completing price negotiation.</t>
  </si>
  <si>
    <t>Further volume erosion.</t>
  </si>
  <si>
    <t>One time effect of +$14m due to release of accruals relating to price assumptions 2022/2023 after completing price negotiation. Continuous volume growth driven across all indications. Alliance with Daiichi Sankyo.</t>
  </si>
  <si>
    <t>see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</si>
</sst>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_);\(#,##0.0000\);\ \-_)"/>
    <numFmt numFmtId="165" formatCode="#,##0.00_);\(#,##0.00\);\ \-_)"/>
    <numFmt numFmtId="166" formatCode="#,##0.0_);\(#,##0.0\);\ \-_)"/>
    <numFmt numFmtId="167" formatCode="#,##0_);\(#,##0\);\ \-_)"/>
    <numFmt numFmtId="168" formatCode="#,##0;\(#,##0\);\-"/>
    <numFmt numFmtId="169" formatCode="#,##0.000_);\(#,##0.000\);\ \-_)"/>
    <numFmt numFmtId="170" formatCode="_-* #,##0\ _€_-;\-* #,##0\ _€_-;_-* &quot;-&quot;\ _€_-;_-@_-"/>
  </numFmts>
  <fonts count="21" x14ac:knownFonts="1">
    <font>
      <sz val="8"/>
      <color theme="1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3F4444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1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3865"/>
        <bgColor indexed="64"/>
      </patternFill>
    </fill>
    <fill>
      <patternFill patternType="solid">
        <fgColor rgb="FF8300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DCDE"/>
        <bgColor indexed="64"/>
      </patternFill>
    </fill>
    <fill>
      <patternFill patternType="solid">
        <fgColor rgb="FF3F4444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830051"/>
      </left>
      <right style="thin">
        <color rgb="FF830051"/>
      </right>
      <top style="thin">
        <color rgb="FF830051"/>
      </top>
      <bottom style="thin">
        <color rgb="FF830051"/>
      </bottom>
      <diagonal/>
    </border>
    <border>
      <left style="thin">
        <color rgb="FF003865"/>
      </left>
      <right style="thin">
        <color rgb="FF003865"/>
      </right>
      <top style="thin">
        <color rgb="FF003865"/>
      </top>
      <bottom style="thin">
        <color rgb="FF003865"/>
      </bottom>
      <diagonal/>
    </border>
  </borders>
  <cellStyleXfs count="2">
    <xf numFmtId="0" fontId="0" fillId="0" borderId="0"/>
    <xf numFmtId="0" fontId="9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Border="1"/>
    <xf numFmtId="165" fontId="5" fillId="3" borderId="2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6" fontId="6" fillId="0" borderId="4" xfId="0" applyNumberFormat="1" applyFont="1" applyBorder="1" applyAlignment="1">
      <alignment horizontal="right" vertical="center"/>
    </xf>
    <xf numFmtId="167" fontId="4" fillId="4" borderId="1" xfId="0" applyNumberFormat="1" applyFont="1" applyFill="1" applyBorder="1"/>
    <xf numFmtId="167" fontId="4" fillId="0" borderId="4" xfId="0" applyNumberFormat="1" applyFont="1" applyBorder="1" applyAlignment="1">
      <alignment horizontal="right" vertical="center"/>
    </xf>
    <xf numFmtId="167" fontId="0" fillId="0" borderId="1" xfId="0" applyNumberFormat="1" applyBorder="1"/>
    <xf numFmtId="0" fontId="7" fillId="0" borderId="4" xfId="0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righ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5" borderId="4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/>
    <xf numFmtId="167" fontId="7" fillId="5" borderId="4" xfId="0" applyNumberFormat="1" applyFont="1" applyFill="1" applyBorder="1" applyAlignment="1">
      <alignment horizontal="right" vertical="center"/>
    </xf>
    <xf numFmtId="166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167" fontId="8" fillId="4" borderId="1" xfId="0" applyNumberFormat="1" applyFont="1" applyFill="1" applyBorder="1"/>
    <xf numFmtId="168" fontId="10" fillId="4" borderId="4" xfId="1" applyNumberFormat="1" applyFont="1" applyFill="1" applyBorder="1" applyAlignment="1">
      <alignment horizontal="left" vertical="center"/>
    </xf>
    <xf numFmtId="166" fontId="10" fillId="0" borderId="4" xfId="1" applyNumberFormat="1" applyFont="1" applyBorder="1" applyAlignment="1">
      <alignment horizontal="right" vertical="center"/>
    </xf>
    <xf numFmtId="167" fontId="10" fillId="0" borderId="4" xfId="1" applyNumberFormat="1" applyFont="1" applyBorder="1" applyAlignment="1">
      <alignment horizontal="right" vertical="center"/>
    </xf>
    <xf numFmtId="168" fontId="11" fillId="6" borderId="5" xfId="1" applyNumberFormat="1" applyFont="1" applyFill="1" applyBorder="1" applyAlignment="1">
      <alignment horizontal="left" vertical="center"/>
    </xf>
    <xf numFmtId="166" fontId="11" fillId="6" borderId="5" xfId="1" applyNumberFormat="1" applyFont="1" applyFill="1" applyBorder="1" applyAlignment="1">
      <alignment horizontal="right" vertical="center"/>
    </xf>
    <xf numFmtId="167" fontId="11" fillId="6" borderId="5" xfId="1" applyNumberFormat="1" applyFont="1" applyFill="1" applyBorder="1" applyAlignment="1">
      <alignment horizontal="right" vertical="center"/>
    </xf>
    <xf numFmtId="166" fontId="10" fillId="4" borderId="4" xfId="1" applyNumberFormat="1" applyFont="1" applyFill="1" applyBorder="1" applyAlignment="1">
      <alignment horizontal="right" vertical="center"/>
    </xf>
    <xf numFmtId="167" fontId="10" fillId="4" borderId="4" xfId="1" applyNumberFormat="1" applyFont="1" applyFill="1" applyBorder="1" applyAlignment="1">
      <alignment horizontal="right" vertical="center"/>
    </xf>
    <xf numFmtId="166" fontId="12" fillId="0" borderId="4" xfId="1" applyNumberFormat="1" applyFont="1" applyBorder="1" applyAlignment="1">
      <alignment horizontal="right" vertical="center"/>
    </xf>
    <xf numFmtId="167" fontId="12" fillId="0" borderId="4" xfId="1" applyNumberFormat="1" applyFont="1" applyBorder="1" applyAlignment="1">
      <alignment horizontal="right" vertical="center"/>
    </xf>
    <xf numFmtId="168" fontId="11" fillId="6" borderId="3" xfId="1" applyNumberFormat="1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66" fontId="4" fillId="0" borderId="5" xfId="0" applyNumberFormat="1" applyFont="1" applyBorder="1" applyAlignment="1">
      <alignment horizontal="right" vertical="center"/>
    </xf>
    <xf numFmtId="167" fontId="4" fillId="0" borderId="5" xfId="0" applyNumberFormat="1" applyFont="1" applyBorder="1" applyAlignment="1">
      <alignment horizontal="right" vertical="center"/>
    </xf>
    <xf numFmtId="168" fontId="5" fillId="3" borderId="1" xfId="0" applyNumberFormat="1" applyFont="1" applyFill="1" applyBorder="1" applyAlignment="1">
      <alignment horizontal="left" vertical="center"/>
    </xf>
    <xf numFmtId="166" fontId="5" fillId="3" borderId="1" xfId="0" applyNumberFormat="1" applyFont="1" applyFill="1" applyBorder="1" applyAlignment="1">
      <alignment horizontal="right" vertical="center"/>
    </xf>
    <xf numFmtId="167" fontId="4" fillId="4" borderId="6" xfId="0" applyNumberFormat="1" applyFont="1" applyFill="1" applyBorder="1"/>
    <xf numFmtId="167" fontId="5" fillId="3" borderId="1" xfId="0" applyNumberFormat="1" applyFont="1" applyFill="1" applyBorder="1" applyAlignment="1">
      <alignment horizontal="right" vertical="center"/>
    </xf>
    <xf numFmtId="167" fontId="0" fillId="0" borderId="6" xfId="0" applyNumberFormat="1" applyBorder="1"/>
    <xf numFmtId="169" fontId="10" fillId="4" borderId="4" xfId="1" applyNumberFormat="1" applyFont="1" applyFill="1" applyBorder="1" applyAlignment="1">
      <alignment horizontal="right" vertical="center"/>
    </xf>
    <xf numFmtId="164" fontId="10" fillId="4" borderId="4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3" xfId="0" applyNumberFormat="1" applyFont="1" applyBorder="1" applyAlignment="1">
      <alignment horizontal="right" vertical="center"/>
    </xf>
    <xf numFmtId="167" fontId="4" fillId="0" borderId="3" xfId="0" applyNumberFormat="1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166" fontId="5" fillId="2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/>
    <xf numFmtId="166" fontId="0" fillId="0" borderId="1" xfId="0" applyNumberFormat="1" applyBorder="1"/>
    <xf numFmtId="0" fontId="13" fillId="0" borderId="9" xfId="0" applyFont="1" applyBorder="1" applyAlignment="1">
      <alignment vertical="center"/>
    </xf>
    <xf numFmtId="166" fontId="13" fillId="0" borderId="3" xfId="0" applyNumberFormat="1" applyFont="1" applyBorder="1" applyAlignment="1">
      <alignment horizontal="right" vertical="center"/>
    </xf>
    <xf numFmtId="170" fontId="14" fillId="0" borderId="1" xfId="0" applyNumberFormat="1" applyFont="1" applyBorder="1"/>
    <xf numFmtId="167" fontId="14" fillId="0" borderId="1" xfId="0" applyNumberFormat="1" applyFont="1" applyBorder="1" applyAlignment="1">
      <alignment horizontal="right"/>
    </xf>
    <xf numFmtId="0" fontId="15" fillId="0" borderId="10" xfId="0" applyFont="1" applyBorder="1" applyAlignment="1">
      <alignment horizontal="center" vertic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quotePrefix="1" applyFont="1" applyAlignment="1">
      <alignment vertical="center" wrapText="1"/>
    </xf>
    <xf numFmtId="0" fontId="18" fillId="0" borderId="0" xfId="0" quotePrefix="1" applyFont="1"/>
    <xf numFmtId="0" fontId="0" fillId="0" borderId="0" xfId="0" applyAlignment="1">
      <alignment vertical="center"/>
    </xf>
    <xf numFmtId="0" fontId="18" fillId="0" borderId="0" xfId="0" applyFont="1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0" fillId="4" borderId="4" xfId="1" applyFont="1" applyFill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12" fillId="6" borderId="5" xfId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0" fillId="3" borderId="12" xfId="0" applyFont="1" applyFill="1" applyBorder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0" fontId="10" fillId="4" borderId="4" xfId="1" applyFont="1" applyFill="1" applyBorder="1" applyAlignment="1">
      <alignment horizontal="left" vertical="center" wrapText="1"/>
    </xf>
    <xf numFmtId="0" fontId="20" fillId="2" borderId="13" xfId="0" applyFont="1" applyFill="1" applyBorder="1" applyAlignment="1">
      <alignment horizontal="left" vertical="center"/>
    </xf>
  </cellXfs>
  <cellStyles count="2">
    <cellStyle name="Normal" xfId="0" builtinId="0"/>
    <cellStyle name="Normal 11 6 3" xfId="1" xr:uid="{77CFAF01-8A11-48C8-9496-0A43906409A4}"/>
  </cellStyles>
  <dxfs count="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71548</xdr:colOff>
      <xdr:row>0</xdr:row>
      <xdr:rowOff>8943</xdr:rowOff>
    </xdr:from>
    <xdr:to>
      <xdr:col>6</xdr:col>
      <xdr:colOff>1135844</xdr:colOff>
      <xdr:row>103</xdr:row>
      <xdr:rowOff>172203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F3BA99B-BCD0-42CC-BBA1-AA241FB93554}"/>
            </a:ext>
          </a:extLst>
        </xdr:cNvPr>
        <xdr:cNvSpPr/>
      </xdr:nvSpPr>
      <xdr:spPr>
        <a:xfrm>
          <a:off x="6739048" y="1723443"/>
          <a:ext cx="2302546" cy="250520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tes.ey.com/sites/AZAutomationandGenAIPilot/Shared%20Documents/General/2.%20As%20Is%20Overview/Use%20Case%201-%20IPE/Data-%20Control%20Folders/CTRL0020148%20(Germany%20MC_FSC008-001)/Germany%20MC_FSC008-001_P1_Sample%201.xlsx" TargetMode="External"/><Relationship Id="rId1" Type="http://schemas.openxmlformats.org/officeDocument/2006/relationships/externalLinkPath" Target="https://sites.ey.com/sites/AZAutomationandGenAIPilot/Shared%20Documents/General/2.%20As%20Is%20Overview/Use%20Case%201-%20IPE/Data-%20Control%20Folders/CTRL0020148%20(Germany%20MC_FSC008-001)/Germany%20MC_FSC008-001_P1_Sample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yperion\SmartView\bin\HsTbar.xla" TargetMode="External"/><Relationship Id="rId1" Type="http://schemas.openxmlformats.org/officeDocument/2006/relationships/externalLinkPath" Target="https://sites.ey.com/Hyperion/SmartView/bin/HsTba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Commentary Matrix"/>
      <sheetName val="YTD vs PY"/>
      <sheetName val="S_ALR_87012284"/>
      <sheetName val="Andexxa_2024"/>
      <sheetName val="Andexxa_2023"/>
      <sheetName val="Symbicort Turbuhaler_2024"/>
      <sheetName val="Symbicort Turbuhaler_2023"/>
      <sheetName val="Eklira 2024"/>
      <sheetName val="Eklira 2023"/>
      <sheetName val="Forxiga 2024"/>
      <sheetName val="Forxiga 2023"/>
      <sheetName val="Seroquel IR_2024"/>
      <sheetName val="Seroquel IR_2023"/>
      <sheetName val="Seroquel XR_2024"/>
      <sheetName val="Seroquel XR_2023"/>
      <sheetName val="Koselugo_2024"/>
      <sheetName val="Koselugo_2023"/>
      <sheetName val="Duaklir_2024"/>
      <sheetName val="Duaklir_2023"/>
      <sheetName val="CMR"/>
      <sheetName val="Pivot GD13"/>
      <sheetName val="GD13"/>
      <sheetName val="&lt;Lookup&gt;"/>
    </sheetNames>
    <sheetDataSet>
      <sheetData sheetId="0">
        <row r="8">
          <cell r="C8" t="str">
            <v>Germany (Top 12)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1">
          <cell r="E21" t="str">
            <v>2500EUC Europe Canada</v>
          </cell>
          <cell r="F21" t="str">
            <v>EurCan</v>
          </cell>
        </row>
        <row r="22">
          <cell r="E22" t="str">
            <v>44000FR France</v>
          </cell>
          <cell r="F22" t="str">
            <v>FR</v>
          </cell>
        </row>
        <row r="23">
          <cell r="E23" t="str">
            <v>44000DE Germany</v>
          </cell>
          <cell r="F23" t="str">
            <v>DE</v>
          </cell>
        </row>
        <row r="24">
          <cell r="E24" t="str">
            <v>44000IT Italy</v>
          </cell>
          <cell r="F24" t="str">
            <v>IT</v>
          </cell>
        </row>
        <row r="25">
          <cell r="E25" t="str">
            <v>44000ES Spain</v>
          </cell>
          <cell r="F25" t="str">
            <v>ES</v>
          </cell>
        </row>
        <row r="26">
          <cell r="E26" t="str">
            <v>2100UKI UK/Malta Area Total</v>
          </cell>
          <cell r="F26" t="str">
            <v>UK</v>
          </cell>
        </row>
        <row r="27">
          <cell r="E27" t="str">
            <v>2100NBA Nordics</v>
          </cell>
          <cell r="F27" t="str">
            <v>NOR</v>
          </cell>
        </row>
        <row r="28">
          <cell r="E28" t="str">
            <v>2100WSE Western Europe &amp; Southern Europe Area</v>
          </cell>
          <cell r="F28" t="str">
            <v>WESE</v>
          </cell>
        </row>
        <row r="29">
          <cell r="E29" t="str">
            <v>2100CEE Central Eastern Europe &amp; Baltics Area</v>
          </cell>
          <cell r="F29" t="str">
            <v>CEEBA</v>
          </cell>
        </row>
        <row r="30">
          <cell r="E30" t="str">
            <v>44000CA Canada</v>
          </cell>
          <cell r="F30" t="str">
            <v>CA</v>
          </cell>
        </row>
        <row r="31">
          <cell r="E31" t="str">
            <v>Germany (Top 12)</v>
          </cell>
          <cell r="F31" t="str">
            <v>DE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sTbar"/>
    </sheetNames>
    <definedNames>
      <definedName name="HsGetValue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06D3-A38D-4A51-9DAB-7F376E68DCA6}">
  <dimension ref="A1:H104"/>
  <sheetViews>
    <sheetView tabSelected="1" workbookViewId="0">
      <selection sqref="A1:H104"/>
    </sheetView>
  </sheetViews>
  <sheetFormatPr defaultRowHeight="11.25" x14ac:dyDescent="0.2"/>
  <sheetData>
    <row r="1" spans="1:8" ht="15.75" x14ac:dyDescent="0.2">
      <c r="A1" s="1" t="s">
        <v>0</v>
      </c>
      <c r="B1" s="2" t="s">
        <v>1</v>
      </c>
      <c r="C1" s="3"/>
      <c r="D1" s="1" t="s">
        <v>2</v>
      </c>
      <c r="E1" s="4"/>
      <c r="F1" s="5" t="s">
        <v>3</v>
      </c>
      <c r="G1" s="59"/>
      <c r="H1" s="60"/>
    </row>
    <row r="2" spans="1:8" ht="31.5" x14ac:dyDescent="0.2">
      <c r="A2" s="6"/>
      <c r="B2" s="7" t="str">
        <f>VLOOKUP([1]Input!$C$8,'[1]&lt;Lookup&gt;'!$E$21:$F$31,2,0)</f>
        <v>DE</v>
      </c>
      <c r="C2" s="8"/>
      <c r="D2" s="9" t="str">
        <f>VLOOKUP([1]Input!$C$8,'[1]&lt;Lookup&gt;'!$E$21:$F$31,2,0)</f>
        <v>DE</v>
      </c>
      <c r="E2" s="10"/>
      <c r="F2" s="11" t="str">
        <f>VLOOKUP([1]Input!$C$8,'[1]&lt;Lookup&gt;'!$E$21:$F$31,2,0)</f>
        <v>DE</v>
      </c>
      <c r="G2" s="61" t="s">
        <v>101</v>
      </c>
      <c r="H2" s="62" t="s">
        <v>102</v>
      </c>
    </row>
    <row r="3" spans="1:8" ht="15" x14ac:dyDescent="0.2">
      <c r="A3" s="12" t="s">
        <v>4</v>
      </c>
      <c r="B3" s="13">
        <f ca="1">B4+B5</f>
        <v>11.938798247000001</v>
      </c>
      <c r="C3" s="14"/>
      <c r="D3" s="15">
        <f ca="1">D4+D5</f>
        <v>11.313055362699998</v>
      </c>
      <c r="E3" s="16"/>
      <c r="F3" s="15">
        <f ca="1">B3-D3</f>
        <v>0.6257428843000028</v>
      </c>
      <c r="G3" s="63">
        <f ca="1">B3-D3</f>
        <v>0.6257428843000028</v>
      </c>
      <c r="H3" s="64" t="s">
        <v>103</v>
      </c>
    </row>
    <row r="4" spans="1:8" ht="270" x14ac:dyDescent="0.2">
      <c r="A4" s="17" t="s">
        <v>5</v>
      </c>
      <c r="B4" s="18" cm="1">
        <f t="array" aca="1" ref="B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&amp;";Value#"&amp;B$14&amp;";Project#"&amp;B$3&amp;";Management Unit#"&amp;B$9&amp;";Currency#"&amp;B$10&amp;";Activity#"&amp;B$1&amp;";Geography#"&amp;B$2&amp;"")/1000000</f>
        <v>11.9250437919</v>
      </c>
      <c r="C4" s="14"/>
      <c r="D4" s="19" cm="1">
        <f t="array" aca="1" ref="D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&amp;";Value#"&amp;D$14&amp;";Project#"&amp;D$3&amp;";Management Unit#"&amp;D$9&amp;";Currency#"&amp;D$10&amp;";Activity#"&amp;D$1&amp;";Geography#"&amp;D$2&amp;"")/1000000</f>
        <v>11.299273652899998</v>
      </c>
      <c r="E4" s="16"/>
      <c r="F4" s="15">
        <f t="shared" ref="F4:F7" ca="1" si="0">B4-D4</f>
        <v>0.62577013900000189</v>
      </c>
      <c r="G4" s="63">
        <f t="shared" ref="G4:G67" ca="1" si="1">B4-D4</f>
        <v>0.62577013900000189</v>
      </c>
      <c r="H4" s="65" t="s">
        <v>104</v>
      </c>
    </row>
    <row r="5" spans="1:8" ht="15" x14ac:dyDescent="0.2">
      <c r="A5" s="17" t="s">
        <v>6</v>
      </c>
      <c r="B5" s="18" cm="1">
        <f t="array" aca="1" ref="B5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&amp;";Value#"&amp;B$14&amp;";Project#"&amp;B$3&amp;";Management Unit#"&amp;B$9&amp;";Currency#"&amp;B$10&amp;";Activity#"&amp;B$1&amp;";Geography#"&amp;B$2&amp;"")/1000000</f>
        <v>1.3754455099999998E-2</v>
      </c>
      <c r="C5" s="14"/>
      <c r="D5" s="19" cm="1">
        <f t="array" aca="1" ref="D5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&amp;";Value#"&amp;D$14&amp;";Project#"&amp;D$3&amp;";Management Unit#"&amp;D$9&amp;";Currency#"&amp;D$10&amp;";Activity#"&amp;D$1&amp;";Geography#"&amp;D$2&amp;"")/1000000</f>
        <v>1.37817098E-2</v>
      </c>
      <c r="E5" s="16"/>
      <c r="F5" s="15">
        <f t="shared" ca="1" si="0"/>
        <v>-2.7254700000001533E-5</v>
      </c>
      <c r="G5" s="63">
        <f t="shared" ca="1" si="1"/>
        <v>-2.7254700000001533E-5</v>
      </c>
      <c r="H5" s="65"/>
    </row>
    <row r="6" spans="1:8" ht="15" x14ac:dyDescent="0.25">
      <c r="A6" s="12" t="s">
        <v>7</v>
      </c>
      <c r="B6" s="13">
        <f ca="1">B7+B8</f>
        <v>3.1594400484999996</v>
      </c>
      <c r="C6" s="14"/>
      <c r="D6" s="15">
        <f ca="1">D7+D8</f>
        <v>3.5760659975999998</v>
      </c>
      <c r="E6" s="16"/>
      <c r="F6" s="15">
        <f t="shared" ca="1" si="0"/>
        <v>-0.41662594910000017</v>
      </c>
      <c r="G6" s="63">
        <f t="shared" ca="1" si="1"/>
        <v>-0.41662594910000017</v>
      </c>
      <c r="H6" s="66"/>
    </row>
    <row r="7" spans="1:8" ht="15" x14ac:dyDescent="0.25">
      <c r="A7" s="17" t="s">
        <v>8</v>
      </c>
      <c r="B7" s="18" cm="1">
        <f t="array" aca="1" ref="B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&amp;";Value#"&amp;B$14&amp;";Project#"&amp;B$3&amp;";Management Unit#"&amp;B$9&amp;";Currency#"&amp;B$10&amp;";Activity#"&amp;B$1&amp;";Geography#"&amp;B$2&amp;"")/1000000</f>
        <v>1.6730228374999998</v>
      </c>
      <c r="C7" s="14"/>
      <c r="D7" s="19" cm="1">
        <f t="array" aca="1" ref="D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&amp;";Value#"&amp;D$14&amp;";Project#"&amp;D$3&amp;";Management Unit#"&amp;D$9&amp;";Currency#"&amp;D$10&amp;";Activity#"&amp;D$1&amp;";Geography#"&amp;D$2&amp;"")/1000000</f>
        <v>1.9735063264999999</v>
      </c>
      <c r="E7" s="16"/>
      <c r="F7" s="15">
        <f t="shared" ca="1" si="0"/>
        <v>-0.3004834890000001</v>
      </c>
      <c r="G7" s="63">
        <f t="shared" ca="1" si="1"/>
        <v>-0.3004834890000001</v>
      </c>
      <c r="H7" s="66"/>
    </row>
    <row r="8" spans="1:8" ht="15" x14ac:dyDescent="0.2">
      <c r="A8" s="17" t="s">
        <v>9</v>
      </c>
      <c r="B8" s="18" cm="1">
        <f t="array" aca="1" ref="B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&amp;";Value#"&amp;B$14&amp;";Project#"&amp;B$3&amp;";Management Unit#"&amp;B$9&amp;";Currency#"&amp;B$10&amp;";Activity#"&amp;B$1&amp;";Geography#"&amp;B$2&amp;"")/1000000</f>
        <v>1.486417211</v>
      </c>
      <c r="C8" s="14"/>
      <c r="D8" s="19" cm="1">
        <f t="array" aca="1" ref="D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&amp;";Value#"&amp;D$14&amp;";Project#"&amp;D$3&amp;";Management Unit#"&amp;D$9&amp;";Currency#"&amp;D$10&amp;";Activity#"&amp;D$1&amp;";Geography#"&amp;D$2&amp;"")/1000000</f>
        <v>1.6025596711000001</v>
      </c>
      <c r="E8" s="16"/>
      <c r="F8" s="15">
        <f ca="1">B8-D8</f>
        <v>-0.11614246010000007</v>
      </c>
      <c r="G8" s="63">
        <f t="shared" ca="1" si="1"/>
        <v>-0.11614246010000007</v>
      </c>
      <c r="H8" s="67"/>
    </row>
    <row r="9" spans="1:8" ht="15" x14ac:dyDescent="0.2">
      <c r="A9" s="12" t="s">
        <v>10</v>
      </c>
      <c r="B9" s="13">
        <f ca="1">B10+B11</f>
        <v>135.63198526630001</v>
      </c>
      <c r="C9" s="14"/>
      <c r="D9" s="15">
        <f ca="1">D10+D11</f>
        <v>106.27591076479999</v>
      </c>
      <c r="E9" s="16"/>
      <c r="F9" s="15">
        <f t="shared" ref="F9:F11" ca="1" si="2">B9-D9</f>
        <v>29.356074501500018</v>
      </c>
      <c r="G9" s="63">
        <f t="shared" ca="1" si="1"/>
        <v>29.356074501500018</v>
      </c>
      <c r="H9" s="64" t="s">
        <v>103</v>
      </c>
    </row>
    <row r="10" spans="1:8" ht="15" x14ac:dyDescent="0.2">
      <c r="A10" s="17" t="s">
        <v>11</v>
      </c>
      <c r="B10" s="20" cm="1">
        <f t="array" aca="1" ref="B1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10&amp;";Value#"&amp;B$14&amp;";Project#"&amp;B$3&amp;";Management Unit#"&amp;B$9&amp;";Currency#"&amp;B$10&amp;";Activity#"&amp;B$1&amp;";Geography#"&amp;B$2&amp;"")/1000000</f>
        <v>111.3018338171</v>
      </c>
      <c r="C10" s="21"/>
      <c r="D10" s="22" cm="1">
        <f t="array" aca="1" ref="D1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10&amp;";Value#"&amp;D$14&amp;";Project#"&amp;D$3&amp;";Management Unit#"&amp;D$9&amp;";Currency#"&amp;D$10&amp;";Activity#"&amp;D$1&amp;";Geography#"&amp;D$2&amp;"")/1000000</f>
        <v>85.379417313199994</v>
      </c>
      <c r="E10" s="16"/>
      <c r="F10" s="15">
        <f t="shared" ca="1" si="2"/>
        <v>25.92241650390001</v>
      </c>
      <c r="G10" s="63">
        <f t="shared" ca="1" si="1"/>
        <v>25.92241650390001</v>
      </c>
      <c r="H10" s="64" t="s">
        <v>105</v>
      </c>
    </row>
    <row r="11" spans="1:8" ht="15" x14ac:dyDescent="0.2">
      <c r="A11" s="17" t="s">
        <v>12</v>
      </c>
      <c r="B11" s="18" cm="1">
        <f t="array" aca="1" ref="B11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11&amp;";Value#"&amp;B$14&amp;";Project#"&amp;B$3&amp;";Management Unit#"&amp;B$9&amp;";Currency#"&amp;B$10&amp;";Activity#"&amp;B$1&amp;";Geography#"&amp;B$2&amp;"")/1000000</f>
        <v>24.330151449200002</v>
      </c>
      <c r="C11" s="14"/>
      <c r="D11" s="19" cm="1">
        <f t="array" aca="1" ref="D11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11&amp;";Value#"&amp;D$14&amp;";Project#"&amp;D$3&amp;";Management Unit#"&amp;D$9&amp;";Currency#"&amp;D$10&amp;";Activity#"&amp;D$1&amp;";Geography#"&amp;D$2&amp;"")/1000000</f>
        <v>20.896493451600001</v>
      </c>
      <c r="E11" s="16"/>
      <c r="F11" s="15">
        <f t="shared" ca="1" si="2"/>
        <v>3.433657997600001</v>
      </c>
      <c r="G11" s="63">
        <f t="shared" ca="1" si="1"/>
        <v>3.433657997600001</v>
      </c>
      <c r="H11" s="64" t="s">
        <v>106</v>
      </c>
    </row>
    <row r="12" spans="1:8" ht="15" x14ac:dyDescent="0.25">
      <c r="A12" s="12" t="s">
        <v>13</v>
      </c>
      <c r="B12" s="23">
        <f ca="1">B13+B15</f>
        <v>0.4293012242</v>
      </c>
      <c r="C12" s="14"/>
      <c r="D12" s="15">
        <f ca="1">D13+D15</f>
        <v>0.37359399739999999</v>
      </c>
      <c r="E12" s="16"/>
      <c r="F12" s="15">
        <f ca="1">B12-D12</f>
        <v>5.5707226800000009E-2</v>
      </c>
      <c r="G12" s="63">
        <f t="shared" ca="1" si="1"/>
        <v>5.5707226800000009E-2</v>
      </c>
      <c r="H12" s="68"/>
    </row>
    <row r="13" spans="1:8" ht="15" x14ac:dyDescent="0.2">
      <c r="A13" s="17" t="s">
        <v>14</v>
      </c>
      <c r="B13" s="18" cm="1">
        <f t="array" aca="1" ref="B1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13&amp;";Value#"&amp;B$14&amp;";Project#"&amp;B$3&amp;";Management Unit#"&amp;B$9&amp;";Currency#"&amp;B$10&amp;";Activity#"&amp;B$1&amp;";Geography#"&amp;B$2&amp;"")/1000000</f>
        <v>0</v>
      </c>
      <c r="C13" s="14"/>
      <c r="D13" s="19" cm="1">
        <f t="array" aca="1" ref="D1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13&amp;";Value#"&amp;D$14&amp;";Project#"&amp;D$3&amp;";Management Unit#"&amp;D$9&amp;";Currency#"&amp;D$10&amp;";Activity#"&amp;D$1&amp;";Geography#"&amp;D$2&amp;"")/1000000</f>
        <v>0</v>
      </c>
      <c r="E13" s="16"/>
      <c r="F13" s="15">
        <f t="shared" ref="F13:F21" ca="1" si="3">B13-D13</f>
        <v>0</v>
      </c>
      <c r="G13" s="63">
        <f t="shared" ca="1" si="1"/>
        <v>0</v>
      </c>
      <c r="H13" s="12"/>
    </row>
    <row r="14" spans="1:8" ht="15" x14ac:dyDescent="0.2">
      <c r="A14" s="17" t="s">
        <v>15</v>
      </c>
      <c r="B14" s="18" cm="1">
        <f t="array" aca="1" ref="B1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14&amp;";Value#"&amp;B$14&amp;";Project#"&amp;B$3&amp;";Management Unit#"&amp;B$9&amp;";Currency#"&amp;B$10&amp;";Activity#"&amp;B$1&amp;";Geography#"&amp;B$2&amp;"")/1000000</f>
        <v>0.58434342649999993</v>
      </c>
      <c r="C14" s="14"/>
      <c r="D14" s="19" cm="1">
        <f t="array" aca="1" ref="D1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14&amp;";Value#"&amp;D$14&amp;";Project#"&amp;D$3&amp;";Management Unit#"&amp;D$9&amp;";Currency#"&amp;D$10&amp;";Activity#"&amp;D$1&amp;";Geography#"&amp;D$2&amp;"")/1000000</f>
        <v>0.3501372391</v>
      </c>
      <c r="E14" s="16"/>
      <c r="F14" s="15">
        <f t="shared" ca="1" si="3"/>
        <v>0.23420618739999993</v>
      </c>
      <c r="G14" s="63">
        <f t="shared" ca="1" si="1"/>
        <v>0.23420618739999993</v>
      </c>
      <c r="H14" s="12"/>
    </row>
    <row r="15" spans="1:8" ht="15" x14ac:dyDescent="0.25">
      <c r="A15" s="17" t="s">
        <v>16</v>
      </c>
      <c r="B15" s="18" cm="1">
        <f t="array" aca="1" ref="B15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15&amp;";Value#"&amp;B$14&amp;";Project#"&amp;B$3&amp;";Management Unit#"&amp;B$9&amp;";Currency#"&amp;B$10&amp;";Activity#"&amp;B$1&amp;";Geography#"&amp;B$2&amp;"")/1000000</f>
        <v>0.4293012242</v>
      </c>
      <c r="C15" s="14"/>
      <c r="D15" s="19" cm="1">
        <f t="array" aca="1" ref="D15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15&amp;";Value#"&amp;D$14&amp;";Project#"&amp;D$3&amp;";Management Unit#"&amp;D$9&amp;";Currency#"&amp;D$10&amp;";Activity#"&amp;D$1&amp;";Geography#"&amp;D$2&amp;"")/1000000</f>
        <v>0.37359399739999999</v>
      </c>
      <c r="E15" s="16"/>
      <c r="F15" s="15">
        <f t="shared" ca="1" si="3"/>
        <v>5.5707226800000009E-2</v>
      </c>
      <c r="G15" s="63">
        <f t="shared" ca="1" si="1"/>
        <v>5.5707226800000009E-2</v>
      </c>
      <c r="H15" s="68"/>
    </row>
    <row r="16" spans="1:8" ht="15" x14ac:dyDescent="0.2">
      <c r="A16" s="12" t="s">
        <v>17</v>
      </c>
      <c r="B16" s="23" cm="1">
        <f t="array" aca="1" ref="B16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16&amp;";Value#"&amp;B$14&amp;";Project#"&amp;B$3&amp;";Management Unit#"&amp;B$9&amp;";Currency#"&amp;B$10&amp;";Activity#"&amp;B$1&amp;";Geography#"&amp;B$2&amp;"")/1000000</f>
        <v>0</v>
      </c>
      <c r="C16" s="14"/>
      <c r="D16" s="15" cm="1">
        <f t="array" aca="1" ref="D16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16&amp;";Value#"&amp;D$14&amp;";Project#"&amp;D$3&amp;";Management Unit#"&amp;D$9&amp;";Currency#"&amp;D$10&amp;";Activity#"&amp;D$1&amp;";Geography#"&amp;D$2&amp;"")/1000000</f>
        <v>0</v>
      </c>
      <c r="E16" s="16"/>
      <c r="F16" s="15">
        <f t="shared" ca="1" si="3"/>
        <v>0</v>
      </c>
      <c r="G16" s="63">
        <f t="shared" ca="1" si="1"/>
        <v>0</v>
      </c>
      <c r="H16" s="12"/>
    </row>
    <row r="17" spans="1:8" ht="15" x14ac:dyDescent="0.2">
      <c r="A17" s="12" t="s">
        <v>18</v>
      </c>
      <c r="B17" s="23" cm="1">
        <f t="array" aca="1" ref="B1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17&amp;";Value#"&amp;B$14&amp;";Project#"&amp;B$3&amp;";Management Unit#"&amp;B$9&amp;";Currency#"&amp;B$10&amp;";Activity#"&amp;B$1&amp;";Geography#"&amp;B$2&amp;"")/1000000</f>
        <v>0</v>
      </c>
      <c r="C17" s="14"/>
      <c r="D17" s="15" cm="1">
        <f t="array" aca="1" ref="D1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17&amp;";Value#"&amp;D$14&amp;";Project#"&amp;D$3&amp;";Management Unit#"&amp;D$9&amp;";Currency#"&amp;D$10&amp;";Activity#"&amp;D$1&amp;";Geography#"&amp;D$2&amp;"")/1000000</f>
        <v>0</v>
      </c>
      <c r="E17" s="16"/>
      <c r="F17" s="15">
        <f t="shared" ca="1" si="3"/>
        <v>0</v>
      </c>
      <c r="G17" s="63">
        <f t="shared" ca="1" si="1"/>
        <v>0</v>
      </c>
      <c r="H17" s="12"/>
    </row>
    <row r="18" spans="1:8" ht="15" x14ac:dyDescent="0.2">
      <c r="A18" s="12" t="s">
        <v>19</v>
      </c>
      <c r="B18" s="23" cm="1">
        <f t="array" aca="1" ref="B1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18&amp;";Value#"&amp;B$14&amp;";Project#"&amp;B$3&amp;";Management Unit#"&amp;B$9&amp;";Currency#"&amp;B$10&amp;";Activity#"&amp;B$1&amp;";Geography#"&amp;B$2&amp;"")/1000000</f>
        <v>0</v>
      </c>
      <c r="C18" s="14"/>
      <c r="D18" s="15" cm="1">
        <f t="array" aca="1" ref="D1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18&amp;";Value#"&amp;D$14&amp;";Project#"&amp;D$3&amp;";Management Unit#"&amp;D$9&amp;";Currency#"&amp;D$10&amp;";Activity#"&amp;D$1&amp;";Geography#"&amp;D$2&amp;"")/1000000</f>
        <v>0</v>
      </c>
      <c r="E18" s="16"/>
      <c r="F18" s="15">
        <f t="shared" ca="1" si="3"/>
        <v>0</v>
      </c>
      <c r="G18" s="63">
        <f t="shared" ca="1" si="1"/>
        <v>0</v>
      </c>
      <c r="H18" s="12"/>
    </row>
    <row r="19" spans="1:8" ht="15" x14ac:dyDescent="0.2">
      <c r="A19" s="12" t="s">
        <v>20</v>
      </c>
      <c r="B19" s="23" cm="1">
        <f t="array" aca="1" ref="B19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19&amp;";Value#"&amp;B$14&amp;";Project#"&amp;B$3&amp;";Management Unit#"&amp;B$9&amp;";Currency#"&amp;B$10&amp;";Activity#"&amp;B$1&amp;";Geography#"&amp;B$2&amp;"")/1000000</f>
        <v>2.1576742455</v>
      </c>
      <c r="C19" s="14"/>
      <c r="D19" s="15" cm="1">
        <f t="array" aca="1" ref="D19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19&amp;";Value#"&amp;D$14&amp;";Project#"&amp;D$3&amp;";Management Unit#"&amp;D$9&amp;";Currency#"&amp;D$10&amp;";Activity#"&amp;D$1&amp;";Geography#"&amp;D$2&amp;"")/1000000</f>
        <v>0.93844329859999998</v>
      </c>
      <c r="E19" s="16"/>
      <c r="F19" s="15">
        <f t="shared" ca="1" si="3"/>
        <v>1.2192309469</v>
      </c>
      <c r="G19" s="63">
        <f t="shared" ca="1" si="1"/>
        <v>1.2192309469</v>
      </c>
      <c r="H19" s="12" t="s">
        <v>107</v>
      </c>
    </row>
    <row r="20" spans="1:8" ht="15" x14ac:dyDescent="0.2">
      <c r="A20" s="12" t="s">
        <v>21</v>
      </c>
      <c r="B20" s="23" cm="1">
        <f t="array" aca="1" ref="B2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20&amp;";Value#"&amp;B$14&amp;";Project#"&amp;B$3&amp;";Management Unit#"&amp;B$9&amp;";Currency#"&amp;B$10&amp;";Activity#"&amp;B$1&amp;";Geography#"&amp;B$2&amp;"")/1000000</f>
        <v>0</v>
      </c>
      <c r="C20" s="14"/>
      <c r="D20" s="15" cm="1">
        <f t="array" aca="1" ref="D2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20&amp;";Value#"&amp;D$14&amp;";Project#"&amp;D$3&amp;";Management Unit#"&amp;D$9&amp;";Currency#"&amp;D$10&amp;";Activity#"&amp;D$1&amp;";Geography#"&amp;D$2&amp;"")/1000000</f>
        <v>0</v>
      </c>
      <c r="E20" s="16"/>
      <c r="F20" s="15">
        <f t="shared" ca="1" si="3"/>
        <v>0</v>
      </c>
      <c r="G20" s="63">
        <f t="shared" ca="1" si="1"/>
        <v>0</v>
      </c>
      <c r="H20" s="12"/>
    </row>
    <row r="21" spans="1:8" ht="15" x14ac:dyDescent="0.2">
      <c r="A21" s="12" t="s">
        <v>22</v>
      </c>
      <c r="B21" s="23" cm="1">
        <f t="array" aca="1" ref="B21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21&amp;";Value#"&amp;B$14&amp;";Project#"&amp;B$3&amp;";Management Unit#"&amp;B$9&amp;";Currency#"&amp;B$10&amp;";Activity#"&amp;B$1&amp;";Geography#"&amp;B$2&amp;"")/1000000</f>
        <v>0</v>
      </c>
      <c r="C21" s="14"/>
      <c r="D21" s="15" cm="1">
        <f t="array" aca="1" ref="D21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21&amp;";Value#"&amp;D$14&amp;";Project#"&amp;D$3&amp;";Management Unit#"&amp;D$9&amp;";Currency#"&amp;D$10&amp;";Activity#"&amp;D$1&amp;";Geography#"&amp;D$2&amp;"")/1000000</f>
        <v>0</v>
      </c>
      <c r="E21" s="16"/>
      <c r="F21" s="15">
        <f t="shared" ca="1" si="3"/>
        <v>0</v>
      </c>
      <c r="G21" s="63">
        <f t="shared" ca="1" si="1"/>
        <v>0</v>
      </c>
      <c r="H21" s="12"/>
    </row>
    <row r="22" spans="1:8" ht="15" x14ac:dyDescent="0.25">
      <c r="A22" s="24" t="s">
        <v>23</v>
      </c>
      <c r="B22" s="23" cm="1">
        <f t="array" aca="1" ref="B22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22&amp;";Value#"&amp;B$14&amp;";Project#"&amp;B$3&amp;";Management Unit#"&amp;B$9&amp;";Currency#"&amp;B$10&amp;";Activity#"&amp;B$1&amp;";Geography#"&amp;B$2&amp;"")/1000000</f>
        <v>0</v>
      </c>
      <c r="C22" s="25"/>
      <c r="D22" s="15" cm="1">
        <f t="array" aca="1" ref="D22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22&amp;";Value#"&amp;D$14&amp;";Project#"&amp;D$3&amp;";Management Unit#"&amp;D$9&amp;";Currency#"&amp;D$10&amp;";Activity#"&amp;D$1&amp;";Geography#"&amp;D$2&amp;"")/1000000</f>
        <v>0</v>
      </c>
      <c r="E22" s="16"/>
      <c r="F22" s="15">
        <f ca="1">B22-D22</f>
        <v>0</v>
      </c>
      <c r="G22" s="63">
        <f t="shared" ca="1" si="1"/>
        <v>0</v>
      </c>
      <c r="H22" s="69"/>
    </row>
    <row r="23" spans="1:8" ht="15" x14ac:dyDescent="0.25">
      <c r="A23" s="26" t="s">
        <v>24</v>
      </c>
      <c r="B23" s="23" cm="1">
        <f t="array" aca="1" ref="B2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23&amp;";Value#"&amp;B$14&amp;";Project#"&amp;B$3&amp;";Management Unit#"&amp;B$9&amp;";Currency#"&amp;B$10&amp;";Activity#"&amp;B$1&amp;";Geography#"&amp;B$2&amp;"")/1000000</f>
        <v>0</v>
      </c>
      <c r="C23" s="14"/>
      <c r="D23" s="15" cm="1">
        <f t="array" aca="1" ref="D2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23&amp;";Value#"&amp;D$14&amp;";Project#"&amp;D$3&amp;";Management Unit#"&amp;D$9&amp;";Currency#"&amp;D$10&amp;";Activity#"&amp;D$1&amp;";Geography#"&amp;D$2&amp;"")/1000000</f>
        <v>-1.0819909999999999E-4</v>
      </c>
      <c r="E23" s="16"/>
      <c r="F23" s="15">
        <f ca="1">B23-D23</f>
        <v>1.0819909999999999E-4</v>
      </c>
      <c r="G23" s="63">
        <f t="shared" ca="1" si="1"/>
        <v>1.0819909999999999E-4</v>
      </c>
      <c r="H23" s="70"/>
    </row>
    <row r="24" spans="1:8" ht="15" x14ac:dyDescent="0.2">
      <c r="A24" s="12" t="s">
        <v>25</v>
      </c>
      <c r="B24" s="23" cm="1">
        <f t="array" aca="1" ref="B2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24&amp;";Value#"&amp;B$14&amp;";Project#"&amp;B$3&amp;";Management Unit#"&amp;B$9&amp;";Currency#"&amp;B$10&amp;";Activity#"&amp;B$1&amp;";Geography#"&amp;B$2&amp;"")/1000000</f>
        <v>7.0802735393000003</v>
      </c>
      <c r="C24" s="14"/>
      <c r="D24" s="15" cm="1">
        <f t="array" aca="1" ref="D2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24&amp;";Value#"&amp;D$14&amp;";Project#"&amp;D$3&amp;";Management Unit#"&amp;D$9&amp;";Currency#"&amp;D$10&amp;";Activity#"&amp;D$1&amp;";Geography#"&amp;D$2&amp;"")/1000000</f>
        <v>4.8113889832000005</v>
      </c>
      <c r="E24" s="16"/>
      <c r="F24" s="15">
        <f t="shared" ref="F24:F25" ca="1" si="4">B24-D24</f>
        <v>2.2688845560999997</v>
      </c>
      <c r="G24" s="63">
        <f t="shared" ca="1" si="1"/>
        <v>2.2688845560999997</v>
      </c>
      <c r="H24" s="71" t="s">
        <v>108</v>
      </c>
    </row>
    <row r="25" spans="1:8" ht="15" x14ac:dyDescent="0.2">
      <c r="A25" s="12" t="s">
        <v>26</v>
      </c>
      <c r="B25" s="23" cm="1">
        <f t="array" aca="1" ref="B25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25&amp;";Value#"&amp;B$14&amp;";Project#"&amp;B$3&amp;";Management Unit#"&amp;B$9&amp;";Currency#"&amp;B$10&amp;";Activity#"&amp;B$1&amp;";Geography#"&amp;B$2&amp;"")/1000000</f>
        <v>0</v>
      </c>
      <c r="C25" s="14"/>
      <c r="D25" s="15" cm="1">
        <f t="array" aca="1" ref="D25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25&amp;";Value#"&amp;D$14&amp;";Project#"&amp;D$3&amp;";Management Unit#"&amp;D$9&amp;";Currency#"&amp;D$10&amp;";Activity#"&amp;D$1&amp;";Geography#"&amp;D$2&amp;"")/1000000</f>
        <v>0</v>
      </c>
      <c r="E25" s="16"/>
      <c r="F25" s="15">
        <f t="shared" ca="1" si="4"/>
        <v>0</v>
      </c>
      <c r="G25" s="63">
        <f t="shared" ca="1" si="1"/>
        <v>0</v>
      </c>
      <c r="H25" s="72"/>
    </row>
    <row r="26" spans="1:8" ht="15" x14ac:dyDescent="0.2">
      <c r="A26" s="12" t="s">
        <v>27</v>
      </c>
      <c r="B26" s="23" cm="1">
        <f t="array" aca="1" ref="B26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26&amp;";Value#"&amp;B$14&amp;";Project#"&amp;B$3&amp;";Management Unit#"&amp;B$9&amp;";Currency#"&amp;B$10&amp;";Activity#"&amp;B$1&amp;";Geography#"&amp;B$2&amp;"")/1000000</f>
        <v>0</v>
      </c>
      <c r="C26" s="14"/>
      <c r="D26" s="15" cm="1">
        <f t="array" aca="1" ref="D26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26&amp;";Value#"&amp;D$14&amp;";Project#"&amp;D$3&amp;";Management Unit#"&amp;D$9&amp;";Currency#"&amp;D$10&amp;";Activity#"&amp;D$1&amp;";Geography#"&amp;D$2&amp;"")/1000000</f>
        <v>0</v>
      </c>
      <c r="E26" s="16"/>
      <c r="F26" s="15">
        <f ca="1">B26-D26</f>
        <v>0</v>
      </c>
      <c r="G26" s="63">
        <f t="shared" ca="1" si="1"/>
        <v>0</v>
      </c>
      <c r="H26" s="72"/>
    </row>
    <row r="27" spans="1:8" ht="15" x14ac:dyDescent="0.2">
      <c r="A27" s="12" t="s">
        <v>28</v>
      </c>
      <c r="B27" s="27">
        <f ca="1">B28-SUBTOTAL(109,B3,B6,B9,B12,B16,B17,B18,B19,B20,B21,B22,B23,B24,B26,B25,B14)</f>
        <v>0</v>
      </c>
      <c r="C27" s="28">
        <f t="shared" ref="C27:F27" si="5">C28-SUBTOTAL(109,C3,C6,C9,C12,C16,C17,C18,C19,C20,C21,C22,C23,C24,C26,C25,C14)</f>
        <v>0</v>
      </c>
      <c r="D27" s="28">
        <f t="shared" ca="1" si="5"/>
        <v>0</v>
      </c>
      <c r="E27" s="28">
        <f t="shared" si="5"/>
        <v>0</v>
      </c>
      <c r="F27" s="28">
        <f t="shared" ca="1" si="5"/>
        <v>0</v>
      </c>
      <c r="G27" s="63">
        <f t="shared" ca="1" si="1"/>
        <v>0</v>
      </c>
      <c r="H27" s="72"/>
    </row>
    <row r="28" spans="1:8" ht="15" x14ac:dyDescent="0.2">
      <c r="A28" s="29" t="s">
        <v>29</v>
      </c>
      <c r="B28" s="30" cm="1">
        <f t="array" aca="1" ref="B2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28&amp;";Value#"&amp;B$14&amp;";Project#"&amp;B$3&amp;";Management Unit#"&amp;B$9&amp;";Currency#"&amp;B$10&amp;";Activity#"&amp;B$1&amp;";Geography#"&amp;B$2&amp;"")/1000000</f>
        <v>160.9818159973</v>
      </c>
      <c r="C28" s="14"/>
      <c r="D28" s="31" cm="1">
        <f t="array" aca="1" ref="D2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28&amp;";Value#"&amp;D$14&amp;";Project#"&amp;D$3&amp;";Management Unit#"&amp;D$9&amp;";Currency#"&amp;D$10&amp;";Activity#"&amp;D$1&amp;";Geography#"&amp;D$2&amp;"")/1000000</f>
        <v>127.63848744430003</v>
      </c>
      <c r="E28" s="16"/>
      <c r="F28" s="31">
        <f t="shared" ref="F28:F38" ca="1" si="6">B28-D28</f>
        <v>33.343328552999978</v>
      </c>
      <c r="G28" s="63">
        <f t="shared" ca="1" si="1"/>
        <v>33.343328552999978</v>
      </c>
      <c r="H28" s="73"/>
    </row>
    <row r="29" spans="1:8" ht="135" x14ac:dyDescent="0.2">
      <c r="A29" s="12" t="s">
        <v>30</v>
      </c>
      <c r="B29" s="23">
        <f ca="1">B30+B31</f>
        <v>8.5294898470000007</v>
      </c>
      <c r="C29" s="14"/>
      <c r="D29" s="15">
        <f ca="1">D30+D31</f>
        <v>14.1357489232</v>
      </c>
      <c r="E29" s="16"/>
      <c r="F29" s="15">
        <f t="shared" ca="1" si="6"/>
        <v>-5.6062590761999989</v>
      </c>
      <c r="G29" s="63">
        <f t="shared" ca="1" si="1"/>
        <v>-5.6062590761999989</v>
      </c>
      <c r="H29" s="65" t="s">
        <v>109</v>
      </c>
    </row>
    <row r="30" spans="1:8" ht="15" x14ac:dyDescent="0.2">
      <c r="A30" s="17" t="s">
        <v>31</v>
      </c>
      <c r="B30" s="23" cm="1">
        <f t="array" aca="1" ref="B3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30&amp;";Value#"&amp;B$14&amp;";Project#"&amp;B$3&amp;";Management Unit#"&amp;B$9&amp;";Currency#"&amp;B$10&amp;";Activity#"&amp;B$1&amp;";Geography#"&amp;B$2&amp;"")/1000000</f>
        <v>8.5294898470000007</v>
      </c>
      <c r="C30" s="14"/>
      <c r="D30" s="15" cm="1">
        <f t="array" aca="1" ref="D3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30&amp;";Value#"&amp;D$14&amp;";Project#"&amp;D$3&amp;";Management Unit#"&amp;D$9&amp;";Currency#"&amp;D$10&amp;";Activity#"&amp;D$1&amp;";Geography#"&amp;D$2&amp;"")/1000000</f>
        <v>14.1357489232</v>
      </c>
      <c r="E30" s="16"/>
      <c r="F30" s="15">
        <f t="shared" ca="1" si="6"/>
        <v>-5.6062590761999989</v>
      </c>
      <c r="G30" s="63">
        <f t="shared" ca="1" si="1"/>
        <v>-5.6062590761999989</v>
      </c>
      <c r="H30" s="65"/>
    </row>
    <row r="31" spans="1:8" ht="15" x14ac:dyDescent="0.2">
      <c r="A31" s="17" t="s">
        <v>32</v>
      </c>
      <c r="B31" s="23" cm="1">
        <f t="array" aca="1" ref="B31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31&amp;";Value#"&amp;B$14&amp;";Project#"&amp;B$3&amp;";Management Unit#"&amp;B$9&amp;";Currency#"&amp;B$10&amp;";Activity#"&amp;B$1&amp;";Geography#"&amp;B$2&amp;"")/1000000</f>
        <v>0</v>
      </c>
      <c r="C31" s="14"/>
      <c r="D31" s="15" cm="1">
        <f t="array" aca="1" ref="D31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31&amp;";Value#"&amp;D$14&amp;";Project#"&amp;D$3&amp;";Management Unit#"&amp;D$9&amp;";Currency#"&amp;D$10&amp;";Activity#"&amp;D$1&amp;";Geography#"&amp;D$2&amp;"")/1000000</f>
        <v>0</v>
      </c>
      <c r="E31" s="16"/>
      <c r="F31" s="15">
        <f t="shared" ca="1" si="6"/>
        <v>0</v>
      </c>
      <c r="G31" s="63">
        <f t="shared" ca="1" si="1"/>
        <v>0</v>
      </c>
      <c r="H31" s="65"/>
    </row>
    <row r="32" spans="1:8" ht="15" x14ac:dyDescent="0.2">
      <c r="A32" s="12" t="s">
        <v>33</v>
      </c>
      <c r="B32" s="23">
        <f ca="1">B33+B34</f>
        <v>0.62212519970000013</v>
      </c>
      <c r="C32" s="14"/>
      <c r="D32" s="15">
        <f ca="1">D33+D34</f>
        <v>0.81510114649999998</v>
      </c>
      <c r="E32" s="16"/>
      <c r="F32" s="15">
        <f ca="1">B32-D32</f>
        <v>-0.19297594679999985</v>
      </c>
      <c r="G32" s="63">
        <f t="shared" ca="1" si="1"/>
        <v>-0.19297594679999985</v>
      </c>
      <c r="H32" s="67"/>
    </row>
    <row r="33" spans="1:8" ht="15" x14ac:dyDescent="0.2">
      <c r="A33" s="17" t="s">
        <v>34</v>
      </c>
      <c r="B33" s="23" cm="1">
        <f t="array" aca="1" ref="B3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33&amp;";Value#"&amp;B$14&amp;";Project#"&amp;B$3&amp;";Management Unit#"&amp;B$9&amp;";Currency#"&amp;B$10&amp;";Activity#"&amp;B$1&amp;";Geography#"&amp;B$2&amp;"")/1000000</f>
        <v>0.39981932720000007</v>
      </c>
      <c r="C33" s="14"/>
      <c r="D33" s="15" cm="1">
        <f t="array" aca="1" ref="D3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33&amp;";Value#"&amp;D$14&amp;";Project#"&amp;D$3&amp;";Management Unit#"&amp;D$9&amp;";Currency#"&amp;D$10&amp;";Activity#"&amp;D$1&amp;";Geography#"&amp;D$2&amp;"")/1000000</f>
        <v>0.44914992479999999</v>
      </c>
      <c r="E33" s="16"/>
      <c r="F33" s="15">
        <f t="shared" ref="F33:F43" ca="1" si="7">B33-D33</f>
        <v>-4.9330597599999915E-2</v>
      </c>
      <c r="G33" s="63">
        <f t="shared" ca="1" si="1"/>
        <v>-4.9330597599999915E-2</v>
      </c>
      <c r="H33" s="67"/>
    </row>
    <row r="34" spans="1:8" ht="15" x14ac:dyDescent="0.2">
      <c r="A34" s="17" t="s">
        <v>35</v>
      </c>
      <c r="B34" s="23" cm="1">
        <f t="array" aca="1" ref="B3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34&amp;";Value#"&amp;B$14&amp;";Project#"&amp;B$3&amp;";Management Unit#"&amp;B$9&amp;";Currency#"&amp;B$10&amp;";Activity#"&amp;B$1&amp;";Geography#"&amp;B$2&amp;"")/1000000</f>
        <v>0.2223058725</v>
      </c>
      <c r="C34" s="14"/>
      <c r="D34" s="15" cm="1">
        <f t="array" aca="1" ref="D3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34&amp;";Value#"&amp;D$14&amp;";Project#"&amp;D$3&amp;";Management Unit#"&amp;D$9&amp;";Currency#"&amp;D$10&amp;";Activity#"&amp;D$1&amp;";Geography#"&amp;D$2&amp;"")/1000000</f>
        <v>0.3659512217</v>
      </c>
      <c r="E34" s="16"/>
      <c r="F34" s="15">
        <f t="shared" ca="1" si="7"/>
        <v>-0.14364534919999999</v>
      </c>
      <c r="G34" s="63">
        <f t="shared" ca="1" si="1"/>
        <v>-0.14364534919999999</v>
      </c>
      <c r="H34" s="67"/>
    </row>
    <row r="35" spans="1:8" ht="15" x14ac:dyDescent="0.2">
      <c r="A35" s="12" t="s">
        <v>36</v>
      </c>
      <c r="B35" s="23" cm="1">
        <f t="array" aca="1" ref="B35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35&amp;";Value#"&amp;B$14&amp;";Project#"&amp;B$3&amp;";Management Unit#"&amp;B$9&amp;";Currency#"&amp;B$10&amp;";Activity#"&amp;B$1&amp;";Geography#"&amp;B$2&amp;"")/1000000</f>
        <v>0</v>
      </c>
      <c r="C35" s="14"/>
      <c r="D35" s="15" cm="1">
        <f t="array" aca="1" ref="D35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35&amp;";Value#"&amp;D$14&amp;";Project#"&amp;D$3&amp;";Management Unit#"&amp;D$9&amp;";Currency#"&amp;D$10&amp;";Activity#"&amp;D$1&amp;";Geography#"&amp;D$2&amp;"")/1000000</f>
        <v>-9.9999999974897941E-11</v>
      </c>
      <c r="E35" s="16"/>
      <c r="F35" s="15">
        <f t="shared" ca="1" si="7"/>
        <v>9.9999999974897941E-11</v>
      </c>
      <c r="G35" s="63">
        <f t="shared" ca="1" si="1"/>
        <v>9.9999999974897941E-11</v>
      </c>
      <c r="H35" s="12"/>
    </row>
    <row r="36" spans="1:8" ht="15" x14ac:dyDescent="0.25">
      <c r="A36" s="12" t="s">
        <v>37</v>
      </c>
      <c r="B36" s="23" cm="1">
        <f t="array" aca="1" ref="B36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36&amp;";Value#"&amp;B$14&amp;";Project#"&amp;B$3&amp;";Management Unit#"&amp;B$9&amp;";Currency#"&amp;B$10&amp;";Activity#"&amp;B$1&amp;";Geography#"&amp;B$2&amp;"")/1000000</f>
        <v>0.20988285810000001</v>
      </c>
      <c r="C36" s="14"/>
      <c r="D36" s="15" cm="1">
        <f t="array" aca="1" ref="D36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36&amp;";Value#"&amp;D$14&amp;";Project#"&amp;D$3&amp;";Management Unit#"&amp;D$9&amp;";Currency#"&amp;D$10&amp;";Activity#"&amp;D$1&amp;";Geography#"&amp;D$2&amp;"")/1000000</f>
        <v>0.75449325830000014</v>
      </c>
      <c r="E36" s="16"/>
      <c r="F36" s="15">
        <f t="shared" ca="1" si="7"/>
        <v>-0.54461040020000007</v>
      </c>
      <c r="G36" s="63">
        <f t="shared" ca="1" si="1"/>
        <v>-0.54461040020000007</v>
      </c>
      <c r="H36" s="68"/>
    </row>
    <row r="37" spans="1:8" ht="15" x14ac:dyDescent="0.2">
      <c r="A37" s="12" t="s">
        <v>38</v>
      </c>
      <c r="B37" s="23" cm="1">
        <f t="array" aca="1" ref="B3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37&amp;";Value#"&amp;B$14&amp;";Project#"&amp;B$3&amp;";Management Unit#"&amp;B$9&amp;";Currency#"&amp;B$10&amp;";Activity#"&amp;B$1&amp;";Geography#"&amp;B$2&amp;"")/1000000</f>
        <v>0</v>
      </c>
      <c r="C37" s="14"/>
      <c r="D37" s="15" cm="1">
        <f t="array" aca="1" ref="D3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37&amp;";Value#"&amp;D$14&amp;";Project#"&amp;D$3&amp;";Management Unit#"&amp;D$9&amp;";Currency#"&amp;D$10&amp;";Activity#"&amp;D$1&amp;";Geography#"&amp;D$2&amp;"")/1000000</f>
        <v>1.3331008999999999E-3</v>
      </c>
      <c r="E37" s="16"/>
      <c r="F37" s="15">
        <f t="shared" ca="1" si="7"/>
        <v>-1.3331008999999999E-3</v>
      </c>
      <c r="G37" s="63">
        <f t="shared" ca="1" si="1"/>
        <v>-1.3331008999999999E-3</v>
      </c>
      <c r="H37" s="12"/>
    </row>
    <row r="38" spans="1:8" ht="15" x14ac:dyDescent="0.25">
      <c r="A38" s="12" t="s">
        <v>39</v>
      </c>
      <c r="B38" s="23">
        <f ca="1">B39+B40</f>
        <v>12.783528679300002</v>
      </c>
      <c r="C38" s="14"/>
      <c r="D38" s="15">
        <f ca="1">D39+D40</f>
        <v>20.588736068599999</v>
      </c>
      <c r="E38" s="16"/>
      <c r="F38" s="15">
        <f t="shared" ca="1" si="7"/>
        <v>-7.8052073892999978</v>
      </c>
      <c r="G38" s="63">
        <f t="shared" ca="1" si="1"/>
        <v>-7.8052073892999978</v>
      </c>
      <c r="H38" s="68" t="s">
        <v>110</v>
      </c>
    </row>
    <row r="39" spans="1:8" ht="15" x14ac:dyDescent="0.25">
      <c r="A39" s="17" t="s">
        <v>40</v>
      </c>
      <c r="B39" s="23" cm="1">
        <f t="array" aca="1" ref="B39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39&amp;";Value#"&amp;B$14&amp;";Project#"&amp;B$3&amp;";Management Unit#"&amp;B$9&amp;";Currency#"&amp;B$10&amp;";Activity#"&amp;B$1&amp;";Geography#"&amp;B$2&amp;"")/1000000</f>
        <v>5.1054115170000003</v>
      </c>
      <c r="C39" s="14"/>
      <c r="D39" s="15" cm="1">
        <f t="array" aca="1" ref="D39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39&amp;";Value#"&amp;D$14&amp;";Project#"&amp;D$3&amp;";Management Unit#"&amp;D$9&amp;";Currency#"&amp;D$10&amp;";Activity#"&amp;D$1&amp;";Geography#"&amp;D$2&amp;"")/1000000</f>
        <v>7.4891963557999999</v>
      </c>
      <c r="E39" s="16"/>
      <c r="F39" s="15">
        <f ca="1">B39-D39</f>
        <v>-2.3837848387999996</v>
      </c>
      <c r="G39" s="63">
        <f t="shared" ca="1" si="1"/>
        <v>-2.3837848387999996</v>
      </c>
      <c r="H39" s="68"/>
    </row>
    <row r="40" spans="1:8" ht="15" x14ac:dyDescent="0.25">
      <c r="A40" s="17" t="s">
        <v>41</v>
      </c>
      <c r="B40" s="23" cm="1">
        <f t="array" aca="1" ref="B4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40&amp;";Value#"&amp;B$14&amp;";Project#"&amp;B$3&amp;";Management Unit#"&amp;B$9&amp;";Currency#"&amp;B$10&amp;";Activity#"&amp;B$1&amp;";Geography#"&amp;B$2&amp;"")/1000000</f>
        <v>7.6781171623000013</v>
      </c>
      <c r="C40" s="14"/>
      <c r="D40" s="15" cm="1">
        <f t="array" aca="1" ref="D4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40&amp;";Value#"&amp;D$14&amp;";Project#"&amp;D$3&amp;";Management Unit#"&amp;D$9&amp;";Currency#"&amp;D$10&amp;";Activity#"&amp;D$1&amp;";Geography#"&amp;D$2&amp;"")/1000000</f>
        <v>13.0995397128</v>
      </c>
      <c r="E40" s="16"/>
      <c r="F40" s="15">
        <f t="shared" ref="F40:F54" ca="1" si="8">B40-D40</f>
        <v>-5.4214225504999991</v>
      </c>
      <c r="G40" s="63">
        <f t="shared" ca="1" si="1"/>
        <v>-5.4214225504999991</v>
      </c>
      <c r="H40" s="68"/>
    </row>
    <row r="41" spans="1:8" ht="15" x14ac:dyDescent="0.2">
      <c r="A41" s="12" t="s">
        <v>42</v>
      </c>
      <c r="B41" s="23" cm="1">
        <f t="array" aca="1" ref="B41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41&amp;";Value#"&amp;B$14&amp;";Project#"&amp;B$3&amp;";Management Unit#"&amp;B$9&amp;";Currency#"&amp;B$10&amp;";Activity#"&amp;B$1&amp;";Geography#"&amp;B$2&amp;"")/1000000</f>
        <v>1.2867410996000002</v>
      </c>
      <c r="C41" s="14"/>
      <c r="D41" s="15" cm="1">
        <f t="array" aca="1" ref="D41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41&amp;";Value#"&amp;D$14&amp;";Project#"&amp;D$3&amp;";Management Unit#"&amp;D$9&amp;";Currency#"&amp;D$10&amp;";Activity#"&amp;D$1&amp;";Geography#"&amp;D$2&amp;"")/1000000</f>
        <v>1.3998711231000001</v>
      </c>
      <c r="E41" s="16"/>
      <c r="F41" s="15">
        <f t="shared" ca="1" si="8"/>
        <v>-0.1131300234999999</v>
      </c>
      <c r="G41" s="63">
        <f t="shared" ca="1" si="1"/>
        <v>-0.1131300234999999</v>
      </c>
      <c r="H41" s="12"/>
    </row>
    <row r="42" spans="1:8" ht="15" x14ac:dyDescent="0.2">
      <c r="A42" s="12" t="s">
        <v>43</v>
      </c>
      <c r="B42" s="23" cm="1">
        <f t="array" aca="1" ref="B42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42&amp;";Value#"&amp;B$14&amp;";Project#"&amp;B$3&amp;";Management Unit#"&amp;B$9&amp;";Currency#"&amp;B$10&amp;";Activity#"&amp;B$1&amp;";Geography#"&amp;B$2&amp;"")/1000000</f>
        <v>0</v>
      </c>
      <c r="C42" s="14"/>
      <c r="D42" s="15" cm="1">
        <f t="array" aca="1" ref="D42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42&amp;";Value#"&amp;D$14&amp;";Project#"&amp;D$3&amp;";Management Unit#"&amp;D$9&amp;";Currency#"&amp;D$10&amp;";Activity#"&amp;D$1&amp;";Geography#"&amp;D$2&amp;"")/1000000</f>
        <v>0</v>
      </c>
      <c r="E42" s="16"/>
      <c r="F42" s="15">
        <f t="shared" ca="1" si="8"/>
        <v>0</v>
      </c>
      <c r="G42" s="63">
        <f t="shared" ca="1" si="1"/>
        <v>0</v>
      </c>
      <c r="H42" s="12"/>
    </row>
    <row r="43" spans="1:8" ht="15" x14ac:dyDescent="0.2">
      <c r="A43" s="12" t="s">
        <v>44</v>
      </c>
      <c r="B43" s="23" cm="1">
        <f t="array" aca="1" ref="B4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43&amp;";Value#"&amp;B$14&amp;";Project#"&amp;B$3&amp;";Management Unit#"&amp;B$9&amp;";Currency#"&amp;B$10&amp;";Activity#"&amp;B$1&amp;";Geography#"&amp;B$2&amp;"")/1000000</f>
        <v>0</v>
      </c>
      <c r="C43" s="14"/>
      <c r="D43" s="15" cm="1">
        <f t="array" aca="1" ref="D4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43&amp;";Value#"&amp;D$14&amp;";Project#"&amp;D$3&amp;";Management Unit#"&amp;D$9&amp;";Currency#"&amp;D$10&amp;";Activity#"&amp;D$1&amp;";Geography#"&amp;D$2&amp;"")/1000000</f>
        <v>0</v>
      </c>
      <c r="E43" s="16"/>
      <c r="F43" s="15">
        <f t="shared" ca="1" si="8"/>
        <v>0</v>
      </c>
      <c r="G43" s="63">
        <f t="shared" ca="1" si="1"/>
        <v>0</v>
      </c>
      <c r="H43" s="12"/>
    </row>
    <row r="44" spans="1:8" ht="15" x14ac:dyDescent="0.2">
      <c r="A44" s="12" t="s">
        <v>45</v>
      </c>
      <c r="B44" s="23" cm="1">
        <f t="array" aca="1" ref="B4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44&amp;";Value#"&amp;B$14&amp;";Project#"&amp;B$3&amp;";Management Unit#"&amp;B$9&amp;";Currency#"&amp;B$10&amp;";Activity#"&amp;B$1&amp;";Geography#"&amp;B$2&amp;"")/1000000</f>
        <v>0</v>
      </c>
      <c r="C44" s="14"/>
      <c r="D44" s="15" cm="1">
        <f t="array" aca="1" ref="D4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44&amp;";Value#"&amp;D$14&amp;";Project#"&amp;D$3&amp;";Management Unit#"&amp;D$9&amp;";Currency#"&amp;D$10&amp;";Activity#"&amp;D$1&amp;";Geography#"&amp;D$2&amp;"")/1000000</f>
        <v>0</v>
      </c>
      <c r="E44" s="16"/>
      <c r="F44" s="15">
        <f t="shared" ca="1" si="8"/>
        <v>0</v>
      </c>
      <c r="G44" s="63">
        <f t="shared" ca="1" si="1"/>
        <v>0</v>
      </c>
      <c r="H44" s="12"/>
    </row>
    <row r="45" spans="1:8" ht="15" x14ac:dyDescent="0.2">
      <c r="A45" s="12" t="s">
        <v>46</v>
      </c>
      <c r="B45" s="23">
        <f ca="1">B46+B47+B48</f>
        <v>0.2616289302</v>
      </c>
      <c r="C45" s="14"/>
      <c r="D45" s="15">
        <f ca="1">D46+D47+D48</f>
        <v>0.29333549959999999</v>
      </c>
      <c r="E45" s="16"/>
      <c r="F45" s="15">
        <f t="shared" ca="1" si="8"/>
        <v>-3.1706569399999995E-2</v>
      </c>
      <c r="G45" s="63">
        <f t="shared" ca="1" si="1"/>
        <v>-3.1706569399999995E-2</v>
      </c>
      <c r="H45" s="12"/>
    </row>
    <row r="46" spans="1:8" ht="15" x14ac:dyDescent="0.2">
      <c r="A46" s="17" t="s">
        <v>47</v>
      </c>
      <c r="B46" s="23" cm="1">
        <f t="array" aca="1" ref="B46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46&amp;";Value#"&amp;B$14&amp;";Project#"&amp;B$3&amp;";Management Unit#"&amp;B$9&amp;";Currency#"&amp;B$10&amp;";Activity#"&amp;B$1&amp;";Geography#"&amp;B$2&amp;"")/1000000</f>
        <v>0</v>
      </c>
      <c r="C46" s="14"/>
      <c r="D46" s="15" cm="1">
        <f t="array" aca="1" ref="D46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46&amp;";Value#"&amp;D$14&amp;";Project#"&amp;D$3&amp;";Management Unit#"&amp;D$9&amp;";Currency#"&amp;D$10&amp;";Activity#"&amp;D$1&amp;";Geography#"&amp;D$2&amp;"")/1000000</f>
        <v>0</v>
      </c>
      <c r="E46" s="16"/>
      <c r="F46" s="15">
        <f t="shared" ca="1" si="8"/>
        <v>0</v>
      </c>
      <c r="G46" s="63">
        <f t="shared" ca="1" si="1"/>
        <v>0</v>
      </c>
      <c r="H46" s="12"/>
    </row>
    <row r="47" spans="1:8" ht="15" x14ac:dyDescent="0.2">
      <c r="A47" s="17" t="s">
        <v>48</v>
      </c>
      <c r="B47" s="23" cm="1">
        <f t="array" aca="1" ref="B4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47&amp;";Value#"&amp;B$14&amp;";Project#"&amp;B$3&amp;";Management Unit#"&amp;B$9&amp;";Currency#"&amp;B$10&amp;";Activity#"&amp;B$1&amp;";Geography#"&amp;B$2&amp;"")/1000000</f>
        <v>4.1252110700000004E-2</v>
      </c>
      <c r="C47" s="14"/>
      <c r="D47" s="15" cm="1">
        <f t="array" aca="1" ref="D4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47&amp;";Value#"&amp;D$14&amp;";Project#"&amp;D$3&amp;";Management Unit#"&amp;D$9&amp;";Currency#"&amp;D$10&amp;";Activity#"&amp;D$1&amp;";Geography#"&amp;D$2&amp;"")/1000000</f>
        <v>4.9595026100000002E-2</v>
      </c>
      <c r="E47" s="16"/>
      <c r="F47" s="15">
        <f t="shared" ca="1" si="8"/>
        <v>-8.3429153999999978E-3</v>
      </c>
      <c r="G47" s="63">
        <f t="shared" ca="1" si="1"/>
        <v>-8.3429153999999978E-3</v>
      </c>
      <c r="H47" s="12"/>
    </row>
    <row r="48" spans="1:8" ht="15" x14ac:dyDescent="0.2">
      <c r="A48" s="17" t="s">
        <v>49</v>
      </c>
      <c r="B48" s="23" cm="1">
        <f t="array" aca="1" ref="B4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48&amp;";Value#"&amp;B$14&amp;";Project#"&amp;B$3&amp;";Management Unit#"&amp;B$9&amp;";Currency#"&amp;B$10&amp;";Activity#"&amp;B$1&amp;";Geography#"&amp;B$2&amp;"")/1000000</f>
        <v>0.22037681950000002</v>
      </c>
      <c r="C48" s="14"/>
      <c r="D48" s="15" cm="1">
        <f t="array" aca="1" ref="D4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48&amp;";Value#"&amp;D$14&amp;";Project#"&amp;D$3&amp;";Management Unit#"&amp;D$9&amp;";Currency#"&amp;D$10&amp;";Activity#"&amp;D$1&amp;";Geography#"&amp;D$2&amp;"")/1000000</f>
        <v>0.2437404735</v>
      </c>
      <c r="E48" s="16"/>
      <c r="F48" s="15">
        <f t="shared" ca="1" si="8"/>
        <v>-2.3363653999999984E-2</v>
      </c>
      <c r="G48" s="63">
        <f t="shared" ca="1" si="1"/>
        <v>-2.3363653999999984E-2</v>
      </c>
      <c r="H48" s="12"/>
    </row>
    <row r="49" spans="1:8" ht="15" x14ac:dyDescent="0.2">
      <c r="A49" s="12" t="s">
        <v>50</v>
      </c>
      <c r="B49" s="23" cm="1">
        <f t="array" aca="1" ref="B49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49&amp;";Value#"&amp;B$14&amp;";Project#"&amp;B$3&amp;";Management Unit#"&amp;B$9&amp;";Currency#"&amp;B$10&amp;";Activity#"&amp;B$1&amp;";Geography#"&amp;B$2&amp;"")/1000000</f>
        <v>0</v>
      </c>
      <c r="C49" s="14"/>
      <c r="D49" s="15" cm="1">
        <f t="array" aca="1" ref="D49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49&amp;";Value#"&amp;D$14&amp;";Project#"&amp;D$3&amp;";Management Unit#"&amp;D$9&amp;";Currency#"&amp;D$10&amp;";Activity#"&amp;D$1&amp;";Geography#"&amp;D$2&amp;"")/1000000</f>
        <v>0</v>
      </c>
      <c r="E49" s="16"/>
      <c r="F49" s="15">
        <f t="shared" ca="1" si="8"/>
        <v>0</v>
      </c>
      <c r="G49" s="63">
        <f t="shared" ca="1" si="1"/>
        <v>0</v>
      </c>
      <c r="H49" s="12"/>
    </row>
    <row r="50" spans="1:8" ht="15" x14ac:dyDescent="0.2">
      <c r="A50" s="12" t="s">
        <v>51</v>
      </c>
      <c r="B50" s="23" cm="1">
        <f t="array" aca="1" ref="B5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50&amp;";Value#"&amp;B$14&amp;";Project#"&amp;B$3&amp;";Management Unit#"&amp;B$9&amp;";Currency#"&amp;B$10&amp;";Activity#"&amp;B$1&amp;";Geography#"&amp;B$2&amp;"")/1000000</f>
        <v>0.13821450239999999</v>
      </c>
      <c r="C50" s="14"/>
      <c r="D50" s="15" cm="1">
        <f t="array" aca="1" ref="D5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50&amp;";Value#"&amp;D$14&amp;";Project#"&amp;D$3&amp;";Management Unit#"&amp;D$9&amp;";Currency#"&amp;D$10&amp;";Activity#"&amp;D$1&amp;";Geography#"&amp;D$2&amp;"")/1000000</f>
        <v>0.17627522370000001</v>
      </c>
      <c r="E50" s="16"/>
      <c r="F50" s="15">
        <f t="shared" ca="1" si="8"/>
        <v>-3.8060721300000017E-2</v>
      </c>
      <c r="G50" s="63">
        <f t="shared" ca="1" si="1"/>
        <v>-3.8060721300000017E-2</v>
      </c>
      <c r="H50" s="12"/>
    </row>
    <row r="51" spans="1:8" ht="15" x14ac:dyDescent="0.2">
      <c r="A51" s="12" t="s">
        <v>52</v>
      </c>
      <c r="B51" s="20" cm="1">
        <f t="array" aca="1" ref="B51" ca="1">IFERROR(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51&amp;";Value#"&amp;B$14&amp;";Project#"&amp;B$3&amp;";Management Unit#"&amp;B$9&amp;";Currency#"&amp;B$10&amp;";Activity#"&amp;B$1&amp;";Geography#"&amp;B$2&amp;"")/1000000,0)</f>
        <v>4.3761050977</v>
      </c>
      <c r="C51" s="21"/>
      <c r="D51" s="22" cm="1">
        <f t="array" aca="1" ref="D51" ca="1">IFERROR(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51&amp;";Value#"&amp;D$14&amp;";Project#"&amp;D$3&amp;";Management Unit#"&amp;D$9&amp;";Currency#"&amp;D$10&amp;";Activity#"&amp;D$1&amp;";Geography#"&amp;D$2&amp;"")/1000000,0)</f>
        <v>2.9159926502000002</v>
      </c>
      <c r="E51" s="16"/>
      <c r="F51" s="15">
        <f t="shared" ca="1" si="8"/>
        <v>1.4601124474999998</v>
      </c>
      <c r="G51" s="63">
        <f t="shared" ca="1" si="1"/>
        <v>1.4601124474999998</v>
      </c>
      <c r="H51" s="12" t="s">
        <v>111</v>
      </c>
    </row>
    <row r="52" spans="1:8" ht="15" x14ac:dyDescent="0.2">
      <c r="A52" s="12" t="s">
        <v>53</v>
      </c>
      <c r="B52" s="23" cm="1">
        <f t="array" aca="1" ref="B52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52&amp;";Value#"&amp;B$14&amp;";Project#"&amp;B$3&amp;";Management Unit#"&amp;B$9&amp;";Currency#"&amp;B$10&amp;";Activity#"&amp;B$1&amp;";Geography#"&amp;B$2&amp;"")/1000000</f>
        <v>1.1228924848999999</v>
      </c>
      <c r="C52" s="14"/>
      <c r="D52" s="15" cm="1">
        <f t="array" aca="1" ref="D52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52&amp;";Value#"&amp;D$14&amp;";Project#"&amp;D$3&amp;";Management Unit#"&amp;D$9&amp;";Currency#"&amp;D$10&amp;";Activity#"&amp;D$1&amp;";Geography#"&amp;D$2&amp;"")/1000000</f>
        <v>0.68463307509999993</v>
      </c>
      <c r="E52" s="16"/>
      <c r="F52" s="15">
        <f t="shared" ca="1" si="8"/>
        <v>0.4382594098</v>
      </c>
      <c r="G52" s="63">
        <f t="shared" ca="1" si="1"/>
        <v>0.4382594098</v>
      </c>
      <c r="H52" s="12"/>
    </row>
    <row r="53" spans="1:8" ht="15" x14ac:dyDescent="0.2">
      <c r="A53" s="12" t="s">
        <v>54</v>
      </c>
      <c r="B53" s="23" cm="1">
        <f t="array" aca="1" ref="B5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53&amp;";Value#"&amp;B$14&amp;";Project#"&amp;B$3&amp;";Management Unit#"&amp;B$9&amp;";Currency#"&amp;B$10&amp;";Activity#"&amp;B$1&amp;";Geography#"&amp;B$2&amp;"")/1000000</f>
        <v>10.6831705962</v>
      </c>
      <c r="C53" s="14"/>
      <c r="D53" s="15" cm="1">
        <f t="array" aca="1" ref="D5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53&amp;";Value#"&amp;D$14&amp;";Project#"&amp;D$3&amp;";Management Unit#"&amp;D$9&amp;";Currency#"&amp;D$10&amp;";Activity#"&amp;D$1&amp;";Geography#"&amp;D$2&amp;"")/1000000</f>
        <v>5.924853721399999</v>
      </c>
      <c r="E53" s="16"/>
      <c r="F53" s="15">
        <f t="shared" ca="1" si="8"/>
        <v>4.7583168748000011</v>
      </c>
      <c r="G53" s="63">
        <f t="shared" ca="1" si="1"/>
        <v>4.7583168748000011</v>
      </c>
      <c r="H53" s="12" t="s">
        <v>112</v>
      </c>
    </row>
    <row r="54" spans="1:8" ht="15" x14ac:dyDescent="0.2">
      <c r="A54" s="12" t="s">
        <v>55</v>
      </c>
      <c r="B54" s="23" cm="1">
        <f t="array" aca="1" ref="B5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54&amp;";Value#"&amp;B$14&amp;";Project#"&amp;B$3&amp;";Management Unit#"&amp;B$9&amp;";Currency#"&amp;B$10&amp;";Activity#"&amp;B$1&amp;";Geography#"&amp;B$2&amp;"")/1000000</f>
        <v>0</v>
      </c>
      <c r="C54" s="14"/>
      <c r="D54" s="15" cm="1">
        <f t="array" aca="1" ref="D5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54&amp;";Value#"&amp;D$14&amp;";Project#"&amp;D$3&amp;";Management Unit#"&amp;D$9&amp;";Currency#"&amp;D$10&amp;";Activity#"&amp;D$1&amp;";Geography#"&amp;D$2&amp;"")/1000000</f>
        <v>0</v>
      </c>
      <c r="E54" s="16"/>
      <c r="F54" s="15">
        <f t="shared" ca="1" si="8"/>
        <v>0</v>
      </c>
      <c r="G54" s="63">
        <f t="shared" ca="1" si="1"/>
        <v>0</v>
      </c>
      <c r="H54" s="12"/>
    </row>
    <row r="55" spans="1:8" ht="15" x14ac:dyDescent="0.2">
      <c r="A55" s="12" t="s">
        <v>56</v>
      </c>
      <c r="B55" s="27">
        <f ca="1">B56-SUBTOTAL(109,B29,B32,B35,B36,B37,B38,B41,B42,B43,B44,B45,B49,B50,B51,B52,B53,B54)</f>
        <v>2.0914903699996046E-2</v>
      </c>
      <c r="C55" s="14"/>
      <c r="D55" s="28">
        <f ca="1">D56-SUBTOTAL(109,D29,D32,D35,D36,D37,D38,D41,D42,D43,D44,D45,D49,D50,D51,D52,D53,D54)</f>
        <v>2.6204851399995732E-2</v>
      </c>
      <c r="E55" s="16"/>
      <c r="F55" s="15">
        <f ca="1">B55-D55</f>
        <v>-5.2899476999996864E-3</v>
      </c>
      <c r="G55" s="63">
        <f t="shared" ca="1" si="1"/>
        <v>-5.2899476999996864E-3</v>
      </c>
      <c r="H55" s="72"/>
    </row>
    <row r="56" spans="1:8" ht="15" x14ac:dyDescent="0.2">
      <c r="A56" s="29" t="s">
        <v>57</v>
      </c>
      <c r="B56" s="30" cm="1">
        <f t="array" aca="1" ref="B56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56&amp;";Value#"&amp;B$14&amp;";Project#"&amp;B$3&amp;";Management Unit#"&amp;B$9&amp;";Currency#"&amp;B$10&amp;";Activity#"&amp;B$1&amp;";Geography#"&amp;B$2&amp;"")/1000000</f>
        <v>40.034694198799997</v>
      </c>
      <c r="C56" s="14"/>
      <c r="D56" s="31" cm="1">
        <f t="array" aca="1" ref="D56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56&amp;";Value#"&amp;D$14&amp;";Project#"&amp;D$3&amp;";Management Unit#"&amp;D$9&amp;";Currency#"&amp;D$10&amp;";Activity#"&amp;D$1&amp;";Geography#"&amp;D$2&amp;"")/1000000</f>
        <v>47.7165786419</v>
      </c>
      <c r="E56" s="16"/>
      <c r="F56" s="31">
        <f t="shared" ref="F56" ca="1" si="9">B56-D56</f>
        <v>-7.6818844431000031</v>
      </c>
      <c r="G56" s="63">
        <f t="shared" ca="1" si="1"/>
        <v>-7.6818844431000031</v>
      </c>
      <c r="H56" s="73"/>
    </row>
    <row r="57" spans="1:8" ht="15" x14ac:dyDescent="0.2">
      <c r="A57" s="26" t="s">
        <v>58</v>
      </c>
      <c r="B57" s="32" cm="1">
        <f t="array" aca="1" ref="B5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57&amp;";Value#"&amp;B$14&amp;";Project#"&amp;B$3&amp;";Management Unit#"&amp;B$9&amp;";Currency#"&amp;B$10&amp;";Activity#"&amp;B$1&amp;";Geography#"&amp;B$2&amp;"")/1000000</f>
        <v>12.646177418299999</v>
      </c>
      <c r="C57" s="14"/>
      <c r="D57" s="33" cm="1">
        <f t="array" aca="1" ref="D5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57&amp;";Value#"&amp;D$14&amp;";Project#"&amp;D$3&amp;";Management Unit#"&amp;D$9&amp;";Currency#"&amp;D$10&amp;";Activity#"&amp;D$1&amp;";Geography#"&amp;D$2&amp;"")/1000000</f>
        <v>16.536344311800001</v>
      </c>
      <c r="E57" s="16"/>
      <c r="F57" s="15">
        <f ca="1">B57-D57</f>
        <v>-3.8901668935000018</v>
      </c>
      <c r="G57" s="63">
        <f t="shared" ca="1" si="1"/>
        <v>-3.8901668935000018</v>
      </c>
      <c r="H57" s="71" t="s">
        <v>113</v>
      </c>
    </row>
    <row r="58" spans="1:8" ht="15" x14ac:dyDescent="0.2">
      <c r="A58" s="26" t="s">
        <v>59</v>
      </c>
      <c r="B58" s="32" cm="1">
        <f t="array" aca="1" ref="B5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58&amp;";Value#"&amp;B$14&amp;";Project#"&amp;B$3&amp;";Management Unit#"&amp;B$9&amp;";Currency#"&amp;B$10&amp;";Activity#"&amp;B$1&amp;";Geography#"&amp;B$2&amp;"")/1000000</f>
        <v>-1.3867664300000034E-2</v>
      </c>
      <c r="C58" s="14"/>
      <c r="D58" s="33" cm="1">
        <f t="array" aca="1" ref="D5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58&amp;";Value#"&amp;D$14&amp;";Project#"&amp;D$3&amp;";Management Unit#"&amp;D$9&amp;";Currency#"&amp;D$10&amp;";Activity#"&amp;D$1&amp;";Geography#"&amp;D$2&amp;"")/1000000</f>
        <v>-0.90471839079999927</v>
      </c>
      <c r="E58" s="16"/>
      <c r="F58" s="15">
        <f ca="1">B58-D58</f>
        <v>0.89085072649999919</v>
      </c>
      <c r="G58" s="63">
        <f t="shared" ca="1" si="1"/>
        <v>0.89085072649999919</v>
      </c>
      <c r="H58" s="71" t="s">
        <v>114</v>
      </c>
    </row>
    <row r="59" spans="1:8" ht="15" x14ac:dyDescent="0.2">
      <c r="A59" s="12" t="s">
        <v>60</v>
      </c>
      <c r="B59" s="27">
        <f ca="1">B60-SUBTOTAL(109,B57:B58)</f>
        <v>-5.5218506999999306E-2</v>
      </c>
      <c r="C59" s="28">
        <f>C60-SUBTOTAL(109,C57:C58)</f>
        <v>0</v>
      </c>
      <c r="D59" s="28">
        <f ca="1">D60-SUBTOTAL(109,D57:D58)</f>
        <v>-0.1444510615999981</v>
      </c>
      <c r="E59" s="16"/>
      <c r="F59" s="15">
        <f ca="1">B59-D59</f>
        <v>8.9232554599998792E-2</v>
      </c>
      <c r="G59" s="63">
        <f t="shared" ca="1" si="1"/>
        <v>8.9232554599998792E-2</v>
      </c>
      <c r="H59" s="72"/>
    </row>
    <row r="60" spans="1:8" ht="15" x14ac:dyDescent="0.2">
      <c r="A60" s="29" t="s">
        <v>61</v>
      </c>
      <c r="B60" s="30" cm="1">
        <f t="array" aca="1" ref="B6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60&amp;";Value#"&amp;B$14&amp;";Project#"&amp;B$3&amp;";Management Unit#"&amp;B$9&amp;";Currency#"&amp;B$10&amp;";Activity#"&amp;B$1&amp;";Geography#"&amp;B$2&amp;"")/1000000</f>
        <v>12.577091247</v>
      </c>
      <c r="C60" s="14"/>
      <c r="D60" s="31" cm="1">
        <f t="array" aca="1" ref="D6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60&amp;";Value#"&amp;D$14&amp;";Project#"&amp;D$3&amp;";Management Unit#"&amp;D$9&amp;";Currency#"&amp;D$10&amp;";Activity#"&amp;D$1&amp;";Geography#"&amp;D$2&amp;"")/1000000</f>
        <v>15.487174859400003</v>
      </c>
      <c r="E60" s="16"/>
      <c r="F60" s="31">
        <f t="shared" ref="F60:F75" ca="1" si="10">B60-D60</f>
        <v>-2.9100836124000029</v>
      </c>
      <c r="G60" s="63">
        <f t="shared" ca="1" si="1"/>
        <v>-2.9100836124000029</v>
      </c>
      <c r="H60" s="73"/>
    </row>
    <row r="61" spans="1:8" ht="255" x14ac:dyDescent="0.2">
      <c r="A61" s="12" t="s">
        <v>62</v>
      </c>
      <c r="B61" s="23" cm="1">
        <f t="array" aca="1" ref="B61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61&amp;";Value#"&amp;B$14&amp;";Project#"&amp;B$3&amp;";Management Unit#"&amp;B$9&amp;";Currency#"&amp;B$10&amp;";Activity#"&amp;B$1&amp;";Geography#"&amp;B$2&amp;"")/1000000</f>
        <v>46.585130925999998</v>
      </c>
      <c r="C61" s="14"/>
      <c r="D61" s="15" cm="1">
        <f t="array" aca="1" ref="D61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61&amp;";Value#"&amp;D$14&amp;";Project#"&amp;D$3&amp;";Management Unit#"&amp;D$9&amp;";Currency#"&amp;D$10&amp;";Activity#"&amp;D$1&amp;";Geography#"&amp;D$2&amp;"")/1000000</f>
        <v>51.597291222700001</v>
      </c>
      <c r="E61" s="16"/>
      <c r="F61" s="15">
        <f t="shared" ca="1" si="10"/>
        <v>-5.012160296700003</v>
      </c>
      <c r="G61" s="63">
        <f t="shared" ca="1" si="1"/>
        <v>-5.012160296700003</v>
      </c>
      <c r="H61" s="74" t="s">
        <v>115</v>
      </c>
    </row>
    <row r="62" spans="1:8" ht="15" x14ac:dyDescent="0.2">
      <c r="A62" s="12" t="s">
        <v>63</v>
      </c>
      <c r="B62" s="23" cm="1">
        <f t="array" aca="1" ref="B62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62&amp;";Value#"&amp;B$14&amp;";Project#"&amp;B$3&amp;";Management Unit#"&amp;B$9&amp;";Currency#"&amp;B$10&amp;";Activity#"&amp;B$1&amp;";Geography#"&amp;B$2&amp;"")/1000000</f>
        <v>64.377410614200002</v>
      </c>
      <c r="C62" s="14"/>
      <c r="D62" s="15" cm="1">
        <f t="array" aca="1" ref="D62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62&amp;";Value#"&amp;D$14&amp;";Project#"&amp;D$3&amp;";Management Unit#"&amp;D$9&amp;";Currency#"&amp;D$10&amp;";Activity#"&amp;D$1&amp;";Geography#"&amp;D$2&amp;"")/1000000</f>
        <v>54.129967339799997</v>
      </c>
      <c r="E62" s="16"/>
      <c r="F62" s="15">
        <f t="shared" ca="1" si="10"/>
        <v>10.247443274400005</v>
      </c>
      <c r="G62" s="63">
        <f t="shared" ca="1" si="1"/>
        <v>10.247443274400005</v>
      </c>
      <c r="H62" s="12" t="s">
        <v>116</v>
      </c>
    </row>
    <row r="63" spans="1:8" ht="15" x14ac:dyDescent="0.2">
      <c r="A63" s="17" t="s">
        <v>64</v>
      </c>
      <c r="B63" s="23" cm="1">
        <f t="array" aca="1" ref="B6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63&amp;";Value#"&amp;B$14&amp;";Project#"&amp;B$3&amp;";Management Unit#"&amp;B$9&amp;";Currency#"&amp;B$10&amp;";Activity#"&amp;B$1&amp;";Geography#"&amp;B$2&amp;"")/1000000</f>
        <v>85.511758023599995</v>
      </c>
      <c r="C63" s="14"/>
      <c r="D63" s="15" cm="1">
        <f t="array" aca="1" ref="D6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63&amp;";Value#"&amp;D$14&amp;";Project#"&amp;D$3&amp;";Management Unit#"&amp;D$9&amp;";Currency#"&amp;D$10&amp;";Activity#"&amp;D$1&amp;";Geography#"&amp;D$2&amp;"")/1000000</f>
        <v>48.995933316200002</v>
      </c>
      <c r="E63" s="16"/>
      <c r="F63" s="15">
        <f t="shared" ca="1" si="10"/>
        <v>36.515824707399993</v>
      </c>
      <c r="G63" s="63">
        <f t="shared" ca="1" si="1"/>
        <v>36.515824707399993</v>
      </c>
      <c r="H63" s="72" t="s">
        <v>117</v>
      </c>
    </row>
    <row r="64" spans="1:8" ht="15" x14ac:dyDescent="0.2">
      <c r="A64" s="17" t="s">
        <v>65</v>
      </c>
      <c r="B64" s="23" cm="1">
        <f t="array" aca="1" ref="B6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64&amp;";Value#"&amp;B$14&amp;";Project#"&amp;B$3&amp;";Management Unit#"&amp;B$9&amp;";Currency#"&amp;B$10&amp;";Activity#"&amp;B$1&amp;";Geography#"&amp;B$2&amp;"")/1000000</f>
        <v>0</v>
      </c>
      <c r="C64" s="14"/>
      <c r="D64" s="15" cm="1">
        <f t="array" aca="1" ref="D6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64&amp;";Value#"&amp;D$14&amp;";Project#"&amp;D$3&amp;";Management Unit#"&amp;D$9&amp;";Currency#"&amp;D$10&amp;";Activity#"&amp;D$1&amp;";Geography#"&amp;D$2&amp;"")/1000000</f>
        <v>0</v>
      </c>
      <c r="E64" s="16"/>
      <c r="F64" s="15">
        <f t="shared" ca="1" si="10"/>
        <v>0</v>
      </c>
      <c r="G64" s="63">
        <f t="shared" ca="1" si="1"/>
        <v>0</v>
      </c>
      <c r="H64" s="12"/>
    </row>
    <row r="65" spans="1:8" ht="357" x14ac:dyDescent="0.2">
      <c r="A65" s="12" t="s">
        <v>66</v>
      </c>
      <c r="B65" s="27">
        <f t="shared" ref="B65" ca="1" si="11">SUM(B63:B64)</f>
        <v>85.511758023599995</v>
      </c>
      <c r="C65" s="14"/>
      <c r="D65" s="28">
        <f t="shared" ref="D65" ca="1" si="12">SUM(D63:D64)</f>
        <v>48.995933316200002</v>
      </c>
      <c r="E65" s="16"/>
      <c r="F65" s="15">
        <f t="shared" ca="1" si="10"/>
        <v>36.515824707399993</v>
      </c>
      <c r="G65" s="63">
        <f t="shared" ca="1" si="1"/>
        <v>36.515824707399993</v>
      </c>
      <c r="H65" s="75" t="s">
        <v>118</v>
      </c>
    </row>
    <row r="66" spans="1:8" ht="204" x14ac:dyDescent="0.2">
      <c r="A66" s="12" t="s">
        <v>67</v>
      </c>
      <c r="B66" s="23" cm="1">
        <f t="array" aca="1" ref="B66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66&amp;";Value#"&amp;B$14&amp;";Project#"&amp;B$3&amp;";Management Unit#"&amp;B$9&amp;";Currency#"&amp;B$10&amp;";Activity#"&amp;B$1&amp;";Geography#"&amp;B$2&amp;"")/1000000</f>
        <v>5.6061687620000002</v>
      </c>
      <c r="C66" s="14"/>
      <c r="D66" s="15" cm="1">
        <f t="array" aca="1" ref="D66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66&amp;";Value#"&amp;D$14&amp;";Project#"&amp;D$3&amp;";Management Unit#"&amp;D$9&amp;";Currency#"&amp;D$10&amp;";Activity#"&amp;D$1&amp;";Geography#"&amp;D$2&amp;"")/1000000</f>
        <v>0.6873975081999999</v>
      </c>
      <c r="E66" s="16"/>
      <c r="F66" s="15">
        <f t="shared" ca="1" si="10"/>
        <v>4.9187712538000001</v>
      </c>
      <c r="G66" s="63">
        <f t="shared" ca="1" si="1"/>
        <v>4.9187712538000001</v>
      </c>
      <c r="H66" s="74" t="s">
        <v>119</v>
      </c>
    </row>
    <row r="67" spans="1:8" ht="15" x14ac:dyDescent="0.2">
      <c r="A67" s="12" t="s">
        <v>68</v>
      </c>
      <c r="B67" s="23" cm="1">
        <f t="array" aca="1" ref="B6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67&amp;";Value#"&amp;B$14&amp;";Project#"&amp;B$3&amp;";Management Unit#"&amp;B$9&amp;";Currency#"&amp;B$10&amp;";Activity#"&amp;B$1&amp;";Geography#"&amp;B$2&amp;"")/1000000</f>
        <v>45.317616330900009</v>
      </c>
      <c r="C67" s="14"/>
      <c r="D67" s="15" cm="1">
        <f t="array" aca="1" ref="D6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67&amp;";Value#"&amp;D$14&amp;";Project#"&amp;D$3&amp;";Management Unit#"&amp;D$9&amp;";Currency#"&amp;D$10&amp;";Activity#"&amp;D$1&amp;";Geography#"&amp;D$2&amp;"")/1000000</f>
        <v>35.660327979099996</v>
      </c>
      <c r="E67" s="16"/>
      <c r="F67" s="15">
        <f t="shared" ca="1" si="10"/>
        <v>9.6572883518000125</v>
      </c>
      <c r="G67" s="63">
        <f t="shared" ca="1" si="1"/>
        <v>9.6572883518000125</v>
      </c>
      <c r="H67" s="12" t="s">
        <v>116</v>
      </c>
    </row>
    <row r="68" spans="1:8" ht="15" x14ac:dyDescent="0.2">
      <c r="A68" s="26" t="s">
        <v>69</v>
      </c>
      <c r="B68" s="32" cm="1">
        <f t="array" aca="1" ref="B6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68&amp;";Value#"&amp;B$14&amp;";Project#"&amp;B$3&amp;";Management Unit#"&amp;B$9&amp;";Currency#"&amp;B$10&amp;";Activity#"&amp;B$1&amp;";Geography#"&amp;B$2&amp;"")/1000000</f>
        <v>0.1198951961</v>
      </c>
      <c r="C68" s="14"/>
      <c r="D68" s="33" cm="1">
        <f t="array" aca="1" ref="D6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68&amp;";Value#"&amp;D$14&amp;";Project#"&amp;D$3&amp;";Management Unit#"&amp;D$9&amp;";Currency#"&amp;D$10&amp;";Activity#"&amp;D$1&amp;";Geography#"&amp;D$2&amp;"")/1000000</f>
        <v>1.9759082063999998</v>
      </c>
      <c r="E68" s="16"/>
      <c r="F68" s="15">
        <f t="shared" ca="1" si="10"/>
        <v>-1.8560130102999997</v>
      </c>
      <c r="G68" s="63">
        <f t="shared" ref="G68:G104" ca="1" si="13">B68-D68</f>
        <v>-1.8560130102999997</v>
      </c>
      <c r="H68" s="71" t="s">
        <v>120</v>
      </c>
    </row>
    <row r="69" spans="1:8" ht="15" x14ac:dyDescent="0.2">
      <c r="A69" s="26" t="s">
        <v>70</v>
      </c>
      <c r="B69" s="32" cm="1">
        <f t="array" aca="1" ref="B69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69&amp;";Value#"&amp;B$14&amp;";Project#"&amp;B$3&amp;";Management Unit#"&amp;B$9&amp;";Currency#"&amp;B$10&amp;";Activity#"&amp;B$1&amp;";Geography#"&amp;B$2&amp;"")/1000000</f>
        <v>7.0216906499999995E-2</v>
      </c>
      <c r="C69" s="14"/>
      <c r="D69" s="33" cm="1">
        <f t="array" aca="1" ref="D69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69&amp;";Value#"&amp;D$14&amp;";Project#"&amp;D$3&amp;";Management Unit#"&amp;D$9&amp;";Currency#"&amp;D$10&amp;";Activity#"&amp;D$1&amp;";Geography#"&amp;D$2&amp;"")/1000000</f>
        <v>4.7708398399999997E-2</v>
      </c>
      <c r="E69" s="16"/>
      <c r="F69" s="15">
        <f t="shared" ca="1" si="10"/>
        <v>2.2508508099999998E-2</v>
      </c>
      <c r="G69" s="63">
        <f t="shared" ca="1" si="13"/>
        <v>2.2508508099999998E-2</v>
      </c>
      <c r="H69" s="71"/>
    </row>
    <row r="70" spans="1:8" ht="15" x14ac:dyDescent="0.2">
      <c r="A70" s="26" t="s">
        <v>71</v>
      </c>
      <c r="B70" s="32" cm="1">
        <f t="array" aca="1" ref="B7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70&amp;";Value#"&amp;B$14&amp;";Project#"&amp;B$3&amp;";Management Unit#"&amp;B$9&amp;";Currency#"&amp;B$10&amp;";Activity#"&amp;B$1&amp;";Geography#"&amp;B$2&amp;"")/1000000</f>
        <v>2.8959997558000006</v>
      </c>
      <c r="C70" s="14"/>
      <c r="D70" s="33" cm="1">
        <f t="array" aca="1" ref="D7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70&amp;";Value#"&amp;D$14&amp;";Project#"&amp;D$3&amp;";Management Unit#"&amp;D$9&amp;";Currency#"&amp;D$10&amp;";Activity#"&amp;D$1&amp;";Geography#"&amp;D$2&amp;"")/1000000</f>
        <v>1.9237379348000001</v>
      </c>
      <c r="E70" s="16"/>
      <c r="F70" s="15">
        <f t="shared" ca="1" si="10"/>
        <v>0.97226182100000047</v>
      </c>
      <c r="G70" s="63">
        <f t="shared" ca="1" si="13"/>
        <v>0.97226182100000047</v>
      </c>
      <c r="H70" s="71"/>
    </row>
    <row r="71" spans="1:8" ht="15" x14ac:dyDescent="0.2">
      <c r="A71" s="26" t="s">
        <v>72</v>
      </c>
      <c r="B71" s="32" cm="1">
        <f t="array" aca="1" ref="B71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71&amp;";Value#"&amp;B$14&amp;";Project#"&amp;B$3&amp;";Management Unit#"&amp;B$9&amp;";Currency#"&amp;B$10&amp;";Activity#"&amp;B$1&amp;";Geography#"&amp;B$2&amp;"")/1000000</f>
        <v>0</v>
      </c>
      <c r="C71" s="14"/>
      <c r="D71" s="33" cm="1">
        <f t="array" aca="1" ref="D71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71&amp;";Value#"&amp;D$14&amp;";Project#"&amp;D$3&amp;";Management Unit#"&amp;D$9&amp;";Currency#"&amp;D$10&amp;";Activity#"&amp;D$1&amp;";Geography#"&amp;D$2&amp;"")/1000000</f>
        <v>0</v>
      </c>
      <c r="E71" s="16"/>
      <c r="F71" s="15">
        <f t="shared" ca="1" si="10"/>
        <v>0</v>
      </c>
      <c r="G71" s="63">
        <f t="shared" ca="1" si="13"/>
        <v>0</v>
      </c>
      <c r="H71" s="71"/>
    </row>
    <row r="72" spans="1:8" ht="15" x14ac:dyDescent="0.2">
      <c r="A72" s="26" t="s">
        <v>73</v>
      </c>
      <c r="B72" s="32" cm="1">
        <f t="array" aca="1" ref="B72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72&amp;";Value#"&amp;B$14&amp;";Project#"&amp;B$3&amp;";Management Unit#"&amp;B$9&amp;";Currency#"&amp;B$10&amp;";Activity#"&amp;B$1&amp;";Geography#"&amp;B$2&amp;"")/1000000</f>
        <v>0</v>
      </c>
      <c r="C72" s="14"/>
      <c r="D72" s="33" cm="1">
        <f t="array" aca="1" ref="D72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72&amp;";Value#"&amp;D$14&amp;";Project#"&amp;D$3&amp;";Management Unit#"&amp;D$9&amp;";Currency#"&amp;D$10&amp;";Activity#"&amp;D$1&amp;";Geography#"&amp;D$2&amp;"")/1000000</f>
        <v>0</v>
      </c>
      <c r="E72" s="16"/>
      <c r="F72" s="15">
        <f t="shared" ca="1" si="10"/>
        <v>0</v>
      </c>
      <c r="G72" s="63">
        <f t="shared" ca="1" si="13"/>
        <v>0</v>
      </c>
      <c r="H72" s="71"/>
    </row>
    <row r="73" spans="1:8" ht="15" x14ac:dyDescent="0.2">
      <c r="A73" s="26" t="s">
        <v>74</v>
      </c>
      <c r="B73" s="32" cm="1">
        <f t="array" aca="1" ref="B7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73&amp;";Value#"&amp;B$14&amp;";Project#"&amp;B$3&amp;";Management Unit#"&amp;B$9&amp;";Currency#"&amp;B$10&amp;";Activity#"&amp;B$1&amp;";Geography#"&amp;B$2&amp;"")/1000000</f>
        <v>1.4052265000000003E-3</v>
      </c>
      <c r="C73" s="14"/>
      <c r="D73" s="33" cm="1">
        <f t="array" aca="1" ref="D7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73&amp;";Value#"&amp;D$14&amp;";Project#"&amp;D$3&amp;";Management Unit#"&amp;D$9&amp;";Currency#"&amp;D$10&amp;";Activity#"&amp;D$1&amp;";Geography#"&amp;D$2&amp;"")/1000000</f>
        <v>9.2371880000000008E-4</v>
      </c>
      <c r="E73" s="16"/>
      <c r="F73" s="15">
        <f t="shared" ca="1" si="10"/>
        <v>4.8150770000000018E-4</v>
      </c>
      <c r="G73" s="63">
        <f t="shared" ca="1" si="13"/>
        <v>4.8150770000000018E-4</v>
      </c>
      <c r="H73" s="71"/>
    </row>
    <row r="74" spans="1:8" ht="15" x14ac:dyDescent="0.2">
      <c r="A74" s="26" t="s">
        <v>75</v>
      </c>
      <c r="B74" s="32" cm="1">
        <f t="array" aca="1" ref="B7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74&amp;";Value#"&amp;B$14&amp;";Project#"&amp;B$3&amp;";Management Unit#"&amp;B$9&amp;";Currency#"&amp;B$10&amp;";Activity#"&amp;B$1&amp;";Geography#"&amp;B$2&amp;"")/1000000</f>
        <v>0</v>
      </c>
      <c r="C74" s="14"/>
      <c r="D74" s="33" cm="1">
        <f t="array" aca="1" ref="D7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74&amp;";Value#"&amp;D$14&amp;";Project#"&amp;D$3&amp;";Management Unit#"&amp;D$9&amp;";Currency#"&amp;D$10&amp;";Activity#"&amp;D$1&amp;";Geography#"&amp;D$2&amp;"")/1000000</f>
        <v>0</v>
      </c>
      <c r="E74" s="16"/>
      <c r="F74" s="15">
        <f t="shared" ca="1" si="10"/>
        <v>0</v>
      </c>
      <c r="G74" s="63">
        <f t="shared" ca="1" si="13"/>
        <v>0</v>
      </c>
      <c r="H74" s="71"/>
    </row>
    <row r="75" spans="1:8" ht="15" x14ac:dyDescent="0.2">
      <c r="A75" s="26" t="s">
        <v>76</v>
      </c>
      <c r="B75" s="32" cm="1">
        <f t="array" aca="1" ref="B75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75&amp;";Value#"&amp;B$14&amp;";Project#"&amp;B$3&amp;";Management Unit#"&amp;B$9&amp;";Currency#"&amp;B$10&amp;";Activity#"&amp;B$1&amp;";Geography#"&amp;B$2&amp;"")/1000000</f>
        <v>0</v>
      </c>
      <c r="C75" s="14"/>
      <c r="D75" s="33" cm="1">
        <f t="array" aca="1" ref="D75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75&amp;";Value#"&amp;D$14&amp;";Project#"&amp;D$3&amp;";Management Unit#"&amp;D$9&amp;";Currency#"&amp;D$10&amp;";Activity#"&amp;D$1&amp;";Geography#"&amp;D$2&amp;"")/1000000</f>
        <v>0</v>
      </c>
      <c r="E75" s="16"/>
      <c r="F75" s="15">
        <f t="shared" ca="1" si="10"/>
        <v>0</v>
      </c>
      <c r="G75" s="63">
        <f t="shared" ca="1" si="13"/>
        <v>0</v>
      </c>
      <c r="H75" s="71"/>
    </row>
    <row r="76" spans="1:8" ht="15" x14ac:dyDescent="0.2">
      <c r="A76" s="12" t="s">
        <v>77</v>
      </c>
      <c r="B76" s="34">
        <f ca="1">B77-SUBTOTAL(109,B61:B64)-SUBTOTAL(109,B66:B75)</f>
        <v>0</v>
      </c>
      <c r="C76" s="14"/>
      <c r="D76" s="35">
        <f ca="1">D77-SUBTOTAL(109,D61:D64)-SUBTOTAL(109,D66:D75)</f>
        <v>0</v>
      </c>
      <c r="E76" s="16"/>
      <c r="F76" s="35">
        <f ca="1">F77-SUBTOTAL(109,F61:F64)-SUBTOTAL(109,F66:F75)</f>
        <v>0</v>
      </c>
      <c r="G76" s="63">
        <f t="shared" ca="1" si="13"/>
        <v>0</v>
      </c>
      <c r="H76" s="76"/>
    </row>
    <row r="77" spans="1:8" ht="15" x14ac:dyDescent="0.2">
      <c r="A77" s="29" t="s">
        <v>78</v>
      </c>
      <c r="B77" s="30" cm="1">
        <f t="array" aca="1" ref="B7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77&amp;";Value#"&amp;B$14&amp;";Project#"&amp;B$3&amp;";Management Unit#"&amp;B$9&amp;";Currency#"&amp;B$10&amp;";Activity#"&amp;B$1&amp;";Geography#"&amp;B$2&amp;"")/1000000</f>
        <v>250.48560174159999</v>
      </c>
      <c r="C77" s="25"/>
      <c r="D77" s="31" cm="1">
        <f t="array" aca="1" ref="D7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77&amp;";Value#"&amp;D$14&amp;";Project#"&amp;D$3&amp;";Management Unit#"&amp;D$9&amp;";Currency#"&amp;D$10&amp;";Activity#"&amp;D$1&amp;";Geography#"&amp;D$2&amp;"")/1000000</f>
        <v>195.0191956244</v>
      </c>
      <c r="E77" s="16"/>
      <c r="F77" s="31">
        <f t="shared" ref="F77:F92" ca="1" si="14">B77-D77</f>
        <v>55.466406117199995</v>
      </c>
      <c r="G77" s="63">
        <f t="shared" ca="1" si="13"/>
        <v>55.466406117199995</v>
      </c>
      <c r="H77" s="73"/>
    </row>
    <row r="78" spans="1:8" ht="15" x14ac:dyDescent="0.2">
      <c r="A78" s="26" t="s">
        <v>79</v>
      </c>
      <c r="B78" s="32" cm="1">
        <f t="array" aca="1" ref="B7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78&amp;";Value#"&amp;B$14&amp;";Project#"&amp;B$3&amp;";Management Unit#"&amp;B$9&amp;";Currency#"&amp;B$10&amp;";Activity#"&amp;B$1&amp;";Geography#"&amp;B$2&amp;"")/1000000</f>
        <v>0</v>
      </c>
      <c r="C78" s="14"/>
      <c r="D78" s="33" cm="1">
        <f t="array" aca="1" ref="D7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78&amp;";Value#"&amp;D$14&amp;";Project#"&amp;D$3&amp;";Management Unit#"&amp;D$9&amp;";Currency#"&amp;D$10&amp;";Activity#"&amp;D$1&amp;";Geography#"&amp;D$2&amp;"")/1000000</f>
        <v>0</v>
      </c>
      <c r="E78" s="16"/>
      <c r="F78" s="15">
        <f t="shared" ca="1" si="14"/>
        <v>0</v>
      </c>
      <c r="G78" s="63">
        <f t="shared" ca="1" si="13"/>
        <v>0</v>
      </c>
      <c r="H78" s="71"/>
    </row>
    <row r="79" spans="1:8" ht="15" x14ac:dyDescent="0.2">
      <c r="A79" s="26" t="s">
        <v>80</v>
      </c>
      <c r="B79" s="32" cm="1">
        <f t="array" aca="1" ref="B79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79&amp;";Value#"&amp;B$14&amp;";Project#"&amp;B$3&amp;";Management Unit#"&amp;B$9&amp;";Currency#"&amp;B$10&amp;";Activity#"&amp;B$1&amp;";Geography#"&amp;B$2&amp;"")/1000000</f>
        <v>0</v>
      </c>
      <c r="C79" s="14"/>
      <c r="D79" s="33" cm="1">
        <f t="array" aca="1" ref="D79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79&amp;";Value#"&amp;D$14&amp;";Project#"&amp;D$3&amp;";Management Unit#"&amp;D$9&amp;";Currency#"&amp;D$10&amp;";Activity#"&amp;D$1&amp;";Geography#"&amp;D$2&amp;"")/1000000</f>
        <v>0</v>
      </c>
      <c r="E79" s="16"/>
      <c r="F79" s="15">
        <f t="shared" ca="1" si="14"/>
        <v>0</v>
      </c>
      <c r="G79" s="63">
        <f t="shared" ca="1" si="13"/>
        <v>0</v>
      </c>
      <c r="H79" s="71"/>
    </row>
    <row r="80" spans="1:8" ht="15" x14ac:dyDescent="0.2">
      <c r="A80" s="26" t="s">
        <v>81</v>
      </c>
      <c r="B80" s="32" cm="1">
        <f t="array" aca="1" ref="B8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80&amp;";Value#"&amp;B$14&amp;";Project#"&amp;B$3&amp;";Management Unit#"&amp;B$9&amp;";Currency#"&amp;B$10&amp;";Activity#"&amp;B$1&amp;";Geography#"&amp;B$2&amp;"")/1000000</f>
        <v>0</v>
      </c>
      <c r="C80" s="14"/>
      <c r="D80" s="33" cm="1">
        <f t="array" aca="1" ref="D8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80&amp;";Value#"&amp;D$14&amp;";Project#"&amp;D$3&amp;";Management Unit#"&amp;D$9&amp;";Currency#"&amp;D$10&amp;";Activity#"&amp;D$1&amp;";Geography#"&amp;D$2&amp;"")/1000000</f>
        <v>-6.257058E-4</v>
      </c>
      <c r="E80" s="16"/>
      <c r="F80" s="15">
        <f t="shared" ca="1" si="14"/>
        <v>6.257058E-4</v>
      </c>
      <c r="G80" s="63">
        <f t="shared" ca="1" si="13"/>
        <v>6.257058E-4</v>
      </c>
      <c r="H80" s="71"/>
    </row>
    <row r="81" spans="1:8" ht="15" x14ac:dyDescent="0.2">
      <c r="A81" s="26" t="s">
        <v>82</v>
      </c>
      <c r="B81" s="32" cm="1">
        <f t="array" aca="1" ref="B81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81&amp;";Value#"&amp;B$14&amp;";Project#"&amp;B$3&amp;";Management Unit#"&amp;B$9&amp;";Currency#"&amp;B$10&amp;";Activity#"&amp;B$1&amp;";Geography#"&amp;B$2&amp;"")/1000000</f>
        <v>-1.9999998039565979E-10</v>
      </c>
      <c r="C81" s="14"/>
      <c r="D81" s="33" cm="1">
        <f t="array" aca="1" ref="D81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81&amp;";Value#"&amp;D$14&amp;";Project#"&amp;D$3&amp;";Management Unit#"&amp;D$9&amp;";Currency#"&amp;D$10&amp;";Activity#"&amp;D$1&amp;";Geography#"&amp;D$2&amp;"")/1000000</f>
        <v>-6.257058E-4</v>
      </c>
      <c r="E81" s="16"/>
      <c r="F81" s="15">
        <f t="shared" ca="1" si="14"/>
        <v>6.2570560000001956E-4</v>
      </c>
      <c r="G81" s="63">
        <f t="shared" ca="1" si="13"/>
        <v>6.2570560000001956E-4</v>
      </c>
      <c r="H81" s="71"/>
    </row>
    <row r="82" spans="1:8" ht="15" x14ac:dyDescent="0.2">
      <c r="A82" s="26" t="s">
        <v>83</v>
      </c>
      <c r="B82" s="32" cm="1">
        <f t="array" aca="1" ref="B82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82&amp;";Value#"&amp;B$14&amp;";Project#"&amp;B$3&amp;";Management Unit#"&amp;B$9&amp;";Currency#"&amp;B$10&amp;";Activity#"&amp;B$1&amp;";Geography#"&amp;B$2&amp;"")/1000000</f>
        <v>-5.5218507000000014E-2</v>
      </c>
      <c r="C82" s="14"/>
      <c r="D82" s="33" cm="1">
        <f t="array" aca="1" ref="D82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82&amp;";Value#"&amp;D$14&amp;";Project#"&amp;D$3&amp;";Management Unit#"&amp;D$9&amp;";Currency#"&amp;D$10&amp;";Activity#"&amp;D$1&amp;";Geography#"&amp;D$2&amp;"")/1000000</f>
        <v>-0.14445106160000001</v>
      </c>
      <c r="E82" s="16"/>
      <c r="F82" s="15">
        <f t="shared" ca="1" si="14"/>
        <v>8.92325546E-2</v>
      </c>
      <c r="G82" s="63">
        <f t="shared" ca="1" si="13"/>
        <v>8.92325546E-2</v>
      </c>
      <c r="H82" s="71"/>
    </row>
    <row r="83" spans="1:8" ht="15" x14ac:dyDescent="0.2">
      <c r="A83" s="26" t="s">
        <v>84</v>
      </c>
      <c r="B83" s="32" cm="1">
        <f t="array" aca="1" ref="B83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83&amp;";Value#"&amp;B$14&amp;";Project#"&amp;B$3&amp;";Management Unit#"&amp;B$9&amp;";Currency#"&amp;B$10&amp;";Activity#"&amp;B$1&amp;";Geography#"&amp;B$2&amp;"")/1000000</f>
        <v>0</v>
      </c>
      <c r="C83" s="14"/>
      <c r="D83" s="33" cm="1">
        <f t="array" aca="1" ref="D83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83&amp;";Value#"&amp;D$14&amp;";Project#"&amp;D$3&amp;";Management Unit#"&amp;D$9&amp;";Currency#"&amp;D$10&amp;";Activity#"&amp;D$1&amp;";Geography#"&amp;D$2&amp;"")/1000000</f>
        <v>0</v>
      </c>
      <c r="E83" s="16"/>
      <c r="F83" s="15">
        <f t="shared" ca="1" si="14"/>
        <v>0</v>
      </c>
      <c r="G83" s="63">
        <f t="shared" ca="1" si="13"/>
        <v>0</v>
      </c>
      <c r="H83" s="71"/>
    </row>
    <row r="84" spans="1:8" ht="15" x14ac:dyDescent="0.2">
      <c r="A84" s="26" t="s">
        <v>85</v>
      </c>
      <c r="B84" s="32" cm="1">
        <f t="array" aca="1" ref="B8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84&amp;";Value#"&amp;B$14&amp;";Project#"&amp;B$3&amp;";Management Unit#"&amp;B$9&amp;";Currency#"&amp;B$10&amp;";Activity#"&amp;B$1&amp;";Geography#"&amp;B$2&amp;"")/1000000</f>
        <v>0</v>
      </c>
      <c r="C84" s="14"/>
      <c r="D84" s="33" cm="1">
        <f t="array" aca="1" ref="D8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84&amp;";Value#"&amp;D$14&amp;";Project#"&amp;D$3&amp;";Management Unit#"&amp;D$9&amp;";Currency#"&amp;D$10&amp;";Activity#"&amp;D$1&amp;";Geography#"&amp;D$2&amp;"")/1000000</f>
        <v>0</v>
      </c>
      <c r="E84" s="16"/>
      <c r="F84" s="15">
        <f t="shared" ca="1" si="14"/>
        <v>0</v>
      </c>
      <c r="G84" s="63">
        <f t="shared" ca="1" si="13"/>
        <v>0</v>
      </c>
      <c r="H84" s="71"/>
    </row>
    <row r="85" spans="1:8" ht="15" x14ac:dyDescent="0.2">
      <c r="A85" s="26" t="s">
        <v>86</v>
      </c>
      <c r="B85" s="32" cm="1">
        <f t="array" aca="1" ref="B85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85&amp;";Value#"&amp;B$14&amp;";Project#"&amp;B$3&amp;";Management Unit#"&amp;B$9&amp;";Currency#"&amp;B$10&amp;";Activity#"&amp;B$1&amp;";Geography#"&amp;B$2&amp;"")/1000000</f>
        <v>0</v>
      </c>
      <c r="C85" s="14"/>
      <c r="D85" s="33" cm="1">
        <f t="array" aca="1" ref="D85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85&amp;";Value#"&amp;D$14&amp;";Project#"&amp;D$3&amp;";Management Unit#"&amp;D$9&amp;";Currency#"&amp;D$10&amp;";Activity#"&amp;D$1&amp;";Geography#"&amp;D$2&amp;"")/1000000</f>
        <v>0</v>
      </c>
      <c r="E85" s="16"/>
      <c r="F85" s="15">
        <f t="shared" ca="1" si="14"/>
        <v>0</v>
      </c>
      <c r="G85" s="63">
        <f t="shared" ca="1" si="13"/>
        <v>0</v>
      </c>
      <c r="H85" s="71"/>
    </row>
    <row r="86" spans="1:8" ht="15" x14ac:dyDescent="0.2">
      <c r="A86" s="26" t="s">
        <v>87</v>
      </c>
      <c r="B86" s="32" cm="1">
        <f t="array" aca="1" ref="B86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86&amp;";Value#"&amp;B$14&amp;";Project#"&amp;B$3&amp;";Management Unit#"&amp;B$9&amp;";Currency#"&amp;B$10&amp;";Activity#"&amp;B$1&amp;";Geography#"&amp;B$2&amp;"")/1000000</f>
        <v>0</v>
      </c>
      <c r="C86" s="14"/>
      <c r="D86" s="33" cm="1">
        <f t="array" aca="1" ref="D86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86&amp;";Value#"&amp;D$14&amp;";Project#"&amp;D$3&amp;";Management Unit#"&amp;D$9&amp;";Currency#"&amp;D$10&amp;";Activity#"&amp;D$1&amp;";Geography#"&amp;D$2&amp;"")/1000000</f>
        <v>0</v>
      </c>
      <c r="E86" s="16"/>
      <c r="F86" s="15">
        <f t="shared" ca="1" si="14"/>
        <v>0</v>
      </c>
      <c r="G86" s="63">
        <f t="shared" ca="1" si="13"/>
        <v>0</v>
      </c>
      <c r="H86" s="71"/>
    </row>
    <row r="87" spans="1:8" ht="15" x14ac:dyDescent="0.2">
      <c r="A87" s="26" t="s">
        <v>88</v>
      </c>
      <c r="B87" s="32" cm="1">
        <f t="array" aca="1" ref="B87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87&amp;";Value#"&amp;B$14&amp;";Project#"&amp;B$3&amp;";Management Unit#"&amp;B$9&amp;";Currency#"&amp;B$10&amp;";Activity#"&amp;B$1&amp;";Geography#"&amp;B$2&amp;"")/1000000</f>
        <v>0</v>
      </c>
      <c r="C87" s="14"/>
      <c r="D87" s="33" cm="1">
        <f t="array" aca="1" ref="D87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87&amp;";Value#"&amp;D$14&amp;";Project#"&amp;D$3&amp;";Management Unit#"&amp;D$9&amp;";Currency#"&amp;D$10&amp;";Activity#"&amp;D$1&amp;";Geography#"&amp;D$2&amp;"")/1000000</f>
        <v>0</v>
      </c>
      <c r="E87" s="16"/>
      <c r="F87" s="15">
        <f t="shared" ca="1" si="14"/>
        <v>0</v>
      </c>
      <c r="G87" s="63">
        <f t="shared" ca="1" si="13"/>
        <v>0</v>
      </c>
      <c r="H87" s="71"/>
    </row>
    <row r="88" spans="1:8" ht="15" x14ac:dyDescent="0.2">
      <c r="A88" s="26" t="s">
        <v>89</v>
      </c>
      <c r="B88" s="32" cm="1">
        <f t="array" aca="1" ref="B88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88&amp;";Value#"&amp;B$14&amp;";Project#"&amp;B$3&amp;";Management Unit#"&amp;B$9&amp;";Currency#"&amp;B$10&amp;";Activity#"&amp;B$1&amp;";Geography#"&amp;B$2&amp;"")/1000000</f>
        <v>0</v>
      </c>
      <c r="C88" s="14"/>
      <c r="D88" s="33" cm="1">
        <f t="array" aca="1" ref="D88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88&amp;";Value#"&amp;D$14&amp;";Project#"&amp;D$3&amp;";Management Unit#"&amp;D$9&amp;";Currency#"&amp;D$10&amp;";Activity#"&amp;D$1&amp;";Geography#"&amp;D$2&amp;"")/1000000</f>
        <v>0</v>
      </c>
      <c r="E88" s="16"/>
      <c r="F88" s="15">
        <f t="shared" ca="1" si="14"/>
        <v>0</v>
      </c>
      <c r="G88" s="63">
        <f t="shared" ca="1" si="13"/>
        <v>0</v>
      </c>
      <c r="H88" s="71"/>
    </row>
    <row r="89" spans="1:8" ht="15" x14ac:dyDescent="0.2">
      <c r="A89" s="26" t="s">
        <v>90</v>
      </c>
      <c r="B89" s="32" cm="1">
        <f t="array" aca="1" ref="B89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89&amp;";Value#"&amp;B$14&amp;";Project#"&amp;B$3&amp;";Management Unit#"&amp;B$9&amp;";Currency#"&amp;B$10&amp;";Activity#"&amp;B$1&amp;";Geography#"&amp;B$2&amp;"")/1000000</f>
        <v>0</v>
      </c>
      <c r="C89" s="14"/>
      <c r="D89" s="33" cm="1">
        <f t="array" aca="1" ref="D89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89&amp;";Value#"&amp;D$14&amp;";Project#"&amp;D$3&amp;";Management Unit#"&amp;D$9&amp;";Currency#"&amp;D$10&amp;";Activity#"&amp;D$1&amp;";Geography#"&amp;D$2&amp;"")/1000000</f>
        <v>0</v>
      </c>
      <c r="E89" s="16"/>
      <c r="F89" s="15">
        <f t="shared" ca="1" si="14"/>
        <v>0</v>
      </c>
      <c r="G89" s="63">
        <f t="shared" ca="1" si="13"/>
        <v>0</v>
      </c>
      <c r="H89" s="71"/>
    </row>
    <row r="90" spans="1:8" ht="15" x14ac:dyDescent="0.2">
      <c r="A90" s="26" t="s">
        <v>91</v>
      </c>
      <c r="B90" s="32" cm="1">
        <f t="array" aca="1" ref="B90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90&amp;";Value#"&amp;B$14&amp;";Project#"&amp;B$3&amp;";Management Unit#"&amp;B$9&amp;";Currency#"&amp;B$10&amp;";Activity#"&amp;B$1&amp;";Geography#"&amp;B$2&amp;"")/1000000</f>
        <v>0</v>
      </c>
      <c r="C90" s="14"/>
      <c r="D90" s="33" cm="1">
        <f t="array" aca="1" ref="D90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90&amp;";Value#"&amp;D$14&amp;";Project#"&amp;D$3&amp;";Management Unit#"&amp;D$9&amp;";Currency#"&amp;D$10&amp;";Activity#"&amp;D$1&amp;";Geography#"&amp;D$2&amp;"")/1000000</f>
        <v>0</v>
      </c>
      <c r="E90" s="16"/>
      <c r="F90" s="15">
        <f t="shared" ca="1" si="14"/>
        <v>0</v>
      </c>
      <c r="G90" s="63">
        <f t="shared" ca="1" si="13"/>
        <v>0</v>
      </c>
      <c r="H90" s="71"/>
    </row>
    <row r="91" spans="1:8" ht="15" x14ac:dyDescent="0.2">
      <c r="A91" s="26" t="s">
        <v>92</v>
      </c>
      <c r="B91" s="27">
        <f ca="1">B92-SUBTOTAL(109,B78:B90)</f>
        <v>5.5218507000000014E-2</v>
      </c>
      <c r="C91" s="14"/>
      <c r="D91" s="28">
        <f ca="1">D92-SUBTOTAL(109,D78:D90)</f>
        <v>0.14445106160000001</v>
      </c>
      <c r="E91" s="16"/>
      <c r="F91" s="15">
        <f t="shared" ca="1" si="14"/>
        <v>-8.92325546E-2</v>
      </c>
      <c r="G91" s="63">
        <f t="shared" ca="1" si="13"/>
        <v>-8.92325546E-2</v>
      </c>
      <c r="H91" s="72"/>
    </row>
    <row r="92" spans="1:8" ht="15" x14ac:dyDescent="0.2">
      <c r="A92" s="36" t="s">
        <v>93</v>
      </c>
      <c r="B92" s="30" cm="1">
        <f t="array" aca="1" ref="B92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92&amp;";Value#"&amp;B$14&amp;";Project#"&amp;B$3&amp;";Management Unit#"&amp;B$9&amp;";Currency#"&amp;B$10&amp;";Activity#"&amp;B$1&amp;";Geography#"&amp;B$2&amp;"")/1000000</f>
        <v>-1.9999998039565979E-10</v>
      </c>
      <c r="C92" s="25"/>
      <c r="D92" s="31" cm="1">
        <f t="array" aca="1" ref="D92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92&amp;";Value#"&amp;D$14&amp;";Project#"&amp;D$3&amp;";Management Unit#"&amp;D$9&amp;";Currency#"&amp;D$10&amp;";Activity#"&amp;D$1&amp;";Geography#"&amp;D$2&amp;"")/1000000</f>
        <v>-1.2514116E-3</v>
      </c>
      <c r="E92" s="16"/>
      <c r="F92" s="31">
        <f t="shared" ca="1" si="14"/>
        <v>1.2514114000000197E-3</v>
      </c>
      <c r="G92" s="63">
        <f t="shared" ca="1" si="13"/>
        <v>1.2514114000000197E-3</v>
      </c>
      <c r="H92" s="73"/>
    </row>
    <row r="93" spans="1:8" ht="15" x14ac:dyDescent="0.2">
      <c r="A93" s="37"/>
      <c r="B93" s="38"/>
      <c r="C93" s="14"/>
      <c r="D93" s="39"/>
      <c r="E93" s="16"/>
      <c r="F93" s="39"/>
      <c r="G93" s="63">
        <f t="shared" si="13"/>
        <v>0</v>
      </c>
      <c r="H93" s="77"/>
    </row>
    <row r="94" spans="1:8" ht="15" x14ac:dyDescent="0.2">
      <c r="A94" s="40" t="str">
        <f>"Total "&amp;[1]Input!$C$10</f>
        <v xml:space="preserve">Total </v>
      </c>
      <c r="B94" s="41" cm="1">
        <f t="array" aca="1" ref="B94" ca="1">[2]!HsGetValue("WSFN|Essbase|EssbaseCluster-3|TOT_PP1|Rptg","Account#"&amp;B$15&amp;";Period#"&amp;B$12&amp;";Years#"&amp;B$13&amp;";Scenario#"&amp;B$11&amp;";Version#"&amp;B$8&amp;";Channel#"&amp;B$6&amp;";Department#"&amp;B$7&amp;";Workforce#"&amp;B$5&amp;";Function#"&amp;B$4&amp;";Product#"&amp;$B94&amp;";Value#"&amp;B$14&amp;";Project#"&amp;B$3&amp;";Management Unit#"&amp;B$9&amp;";Currency#"&amp;B$10&amp;";Activity#"&amp;B$1&amp;";Geography#"&amp;B$2&amp;"")/1000000</f>
        <v>464.0792032059</v>
      </c>
      <c r="C94" s="42"/>
      <c r="D94" s="43" cm="1">
        <f t="array" aca="1" ref="D94" ca="1">[2]!HsGetValue("WSFN|Essbase|EssbaseCluster-3|TOT_PP1|Rptg","Account#"&amp;D$15&amp;";Period#"&amp;D$12&amp;";Years#"&amp;D$13&amp;";Scenario#"&amp;D$11&amp;";Version#"&amp;D$8&amp;";Channel#"&amp;D$6&amp;";Department#"&amp;D$7&amp;";Workforce#"&amp;D$5&amp;";Function#"&amp;D$4&amp;";Product#"&amp;$B94&amp;";Value#"&amp;D$14&amp;";Project#"&amp;D$3&amp;";Management Unit#"&amp;D$9&amp;";Currency#"&amp;D$10&amp;";Activity#"&amp;D$1&amp;";Geography#"&amp;D$2&amp;"")/1000000</f>
        <v>385.86018515839999</v>
      </c>
      <c r="E94" s="44"/>
      <c r="F94" s="43">
        <f ca="1">B94-D94</f>
        <v>78.219018047500015</v>
      </c>
      <c r="G94" s="63">
        <f t="shared" ca="1" si="13"/>
        <v>78.219018047500015</v>
      </c>
      <c r="H94" s="78"/>
    </row>
    <row r="95" spans="1:8" ht="15" x14ac:dyDescent="0.2">
      <c r="A95" s="26"/>
      <c r="B95" s="32"/>
      <c r="C95" s="14"/>
      <c r="D95" s="33"/>
      <c r="E95" s="16"/>
      <c r="F95" s="15"/>
      <c r="G95" s="63"/>
      <c r="H95" s="79"/>
    </row>
    <row r="96" spans="1:8" ht="15" x14ac:dyDescent="0.2">
      <c r="A96" s="26" t="s">
        <v>94</v>
      </c>
      <c r="B96" s="23" cm="1">
        <f t="array" aca="1" ref="B96" ca="1">[2]!HsGetValue("WSFN|Essbase|EssbaseCluster-3|TOT_PP1|Rptg","Account#"&amp;$B96&amp;";Period#"&amp;B$12&amp;";Years#"&amp;B$13&amp;";Scenario#"&amp;B$11&amp;";Version#"&amp;B$8&amp;";Channel#"&amp;B$6&amp;";Department#"&amp;B$7&amp;";Workforce#"&amp;B$5&amp;";Function#"&amp;B$4&amp;";Product#"&amp;$A96&amp;";Value#"&amp;B$14&amp;";Project#"&amp;B$3&amp;";Management Unit#"&amp;B$9&amp;";Currency#"&amp;B$10&amp;";Activity#"&amp;B$1&amp;";Geography#"&amp;B$2&amp;"")/1000000</f>
        <v>0.77649999999999997</v>
      </c>
      <c r="C96" s="14"/>
      <c r="D96" s="33" cm="1">
        <f t="array" aca="1" ref="D96" ca="1">[2]!HsGetValue("WSFN|Essbase|EssbaseCluster-3|TOT_PP1|Rptg","Account#"&amp;$B96&amp;";Period#"&amp;D$12&amp;";Years#"&amp;D$13&amp;";Scenario#"&amp;D$11&amp;";Version#"&amp;D$8&amp;";Channel#"&amp;D$6&amp;";Department#"&amp;D$7&amp;";Workforce#"&amp;D$5&amp;";Function#"&amp;D$4&amp;";Product#"&amp;$A96&amp;";Value#"&amp;D$14&amp;";Project#"&amp;D$3&amp;";Management Unit#"&amp;D$9&amp;";Currency#"&amp;D$10&amp;";Activity#"&amp;D$1&amp;";Geography#"&amp;D$2&amp;"")/1000000</f>
        <v>0</v>
      </c>
      <c r="E96" s="16"/>
      <c r="F96" s="15">
        <f ca="1">B96-D96</f>
        <v>0.77649999999999997</v>
      </c>
      <c r="G96" s="63">
        <f t="shared" ref="G96:G104" ca="1" si="15">B96-D96</f>
        <v>0.77649999999999997</v>
      </c>
      <c r="H96" s="79"/>
    </row>
    <row r="97" spans="1:8" ht="395.25" x14ac:dyDescent="0.2">
      <c r="A97" s="26" t="s">
        <v>95</v>
      </c>
      <c r="B97" s="23" cm="1">
        <f t="array" aca="1" ref="B97" ca="1">[2]!HsGetValue("WSFN|Essbase|EssbaseCluster-3|TOT_PP1|Rptg","Account#"&amp;$B97&amp;";Period#"&amp;B$12&amp;";Years#"&amp;B$13&amp;";Scenario#"&amp;B$11&amp;";Version#"&amp;B$8&amp;";Channel#"&amp;B$6&amp;";Department#"&amp;B$7&amp;";Workforce#"&amp;B$5&amp;";Function#"&amp;B$4&amp;";Product#"&amp;$A97&amp;";Value#"&amp;B$14&amp;";Project#"&amp;B$3&amp;";Management Unit#"&amp;B$9&amp;";Currency#"&amp;B$10&amp;";Activity#"&amp;B$1&amp;";Geography#"&amp;B$2&amp;"")/1000000</f>
        <v>37.614896021100002</v>
      </c>
      <c r="C97" s="14"/>
      <c r="D97" s="33" cm="1">
        <f t="array" aca="1" ref="D97" ca="1">[2]!HsGetValue("WSFN|Essbase|EssbaseCluster-3|TOT_PP1|Rptg","Account#"&amp;$B97&amp;";Period#"&amp;D$12&amp;";Years#"&amp;D$13&amp;";Scenario#"&amp;D$11&amp;";Version#"&amp;D$8&amp;";Channel#"&amp;D$6&amp;";Department#"&amp;D$7&amp;";Workforce#"&amp;D$5&amp;";Function#"&amp;D$4&amp;";Product#"&amp;$A97&amp;";Value#"&amp;D$14&amp;";Project#"&amp;D$3&amp;";Management Unit#"&amp;D$9&amp;";Currency#"&amp;D$10&amp;";Activity#"&amp;D$1&amp;";Geography#"&amp;D$2&amp;"")/1000000</f>
        <v>16.616789749600002</v>
      </c>
      <c r="E97" s="16"/>
      <c r="F97" s="15">
        <f ca="1">B97-D97</f>
        <v>20.998106271499999</v>
      </c>
      <c r="G97" s="63">
        <f t="shared" ca="1" si="15"/>
        <v>20.998106271499999</v>
      </c>
      <c r="H97" s="80" t="s">
        <v>121</v>
      </c>
    </row>
    <row r="98" spans="1:8" ht="15" x14ac:dyDescent="0.2">
      <c r="A98" s="26" t="s">
        <v>22</v>
      </c>
      <c r="B98" s="32" cm="1">
        <f t="array" aca="1" ref="B98" ca="1">[2]!HsGetValue("WSFN|Essbase|EssbaseCluster-3|TOT_PP1|Rptg","Account#"&amp;$B98&amp;";Period#"&amp;B$12&amp;";Years#"&amp;B$13&amp;";Scenario#"&amp;B$11&amp;";Version#"&amp;B$8&amp;";Channel#"&amp;B$6&amp;";Department#"&amp;B$7&amp;";Workforce#"&amp;B$5&amp;";Function#"&amp;B$4&amp;";Product#"&amp;$A98&amp;";Value#"&amp;B$14&amp;";Project#"&amp;B$3&amp;";Management Unit#"&amp;B$9&amp;";Currency#"&amp;B$10&amp;";Activity#"&amp;B$1&amp;";Geography#"&amp;B$2&amp;"")/1000000</f>
        <v>0</v>
      </c>
      <c r="C98" s="14"/>
      <c r="D98" s="33" cm="1">
        <f t="array" aca="1" ref="D98" ca="1">[2]!HsGetValue("WSFN|Essbase|EssbaseCluster-3|TOT_PP1|Rptg","Account#"&amp;$B98&amp;";Period#"&amp;D$12&amp;";Years#"&amp;D$13&amp;";Scenario#"&amp;D$11&amp;";Version#"&amp;D$8&amp;";Channel#"&amp;D$6&amp;";Department#"&amp;D$7&amp;";Workforce#"&amp;D$5&amp;";Function#"&amp;D$4&amp;";Product#"&amp;$A98&amp;";Value#"&amp;D$14&amp;";Project#"&amp;D$3&amp;";Management Unit#"&amp;D$9&amp;";Currency#"&amp;D$10&amp;";Activity#"&amp;D$1&amp;";Geography#"&amp;D$2&amp;"")/1000000</f>
        <v>0</v>
      </c>
      <c r="E98" s="16"/>
      <c r="F98" s="15">
        <f ca="1">B98-D98</f>
        <v>0</v>
      </c>
      <c r="G98" s="63">
        <f t="shared" ca="1" si="15"/>
        <v>0</v>
      </c>
      <c r="H98" s="71"/>
    </row>
    <row r="99" spans="1:8" ht="15" x14ac:dyDescent="0.2">
      <c r="A99" s="26" t="s">
        <v>96</v>
      </c>
      <c r="B99" s="45">
        <f ca="1">B100-B97-B98-B96</f>
        <v>-1.3322676295501878E-15</v>
      </c>
      <c r="C99" s="14"/>
      <c r="D99" s="46">
        <f ca="1">D100-D97-D98-D96</f>
        <v>0</v>
      </c>
      <c r="E99" s="16"/>
      <c r="F99" s="15">
        <f ca="1">B99-D99</f>
        <v>-1.3322676295501878E-15</v>
      </c>
      <c r="G99" s="63">
        <f t="shared" ca="1" si="15"/>
        <v>-1.3322676295501878E-15</v>
      </c>
      <c r="H99" s="71"/>
    </row>
    <row r="100" spans="1:8" ht="15" x14ac:dyDescent="0.2">
      <c r="A100" s="47" t="s">
        <v>97</v>
      </c>
      <c r="B100" s="32" cm="1">
        <f t="array" aca="1" ref="B100" ca="1">[2]!HsGetValue("WSFN|Essbase|EssbaseCluster-3|TOT_PP1|Rptg","Account#"&amp;$B100&amp;";Period#"&amp;B$12&amp;";Years#"&amp;B$13&amp;";Scenario#"&amp;B$11&amp;";Version#"&amp;B$8&amp;";Channel#"&amp;B$6&amp;";Department#"&amp;B$7&amp;";Workforce#"&amp;B$5&amp;";Function#"&amp;B$4&amp;";Product#"&amp;$A100&amp;";Value#"&amp;B$14&amp;";Project#"&amp;B$3&amp;";Management Unit#"&amp;B$9&amp;";Currency#"&amp;B$10&amp;";Activity#"&amp;B$1&amp;";Geography#"&amp;B$2&amp;"")/1000000</f>
        <v>38.3913960211</v>
      </c>
      <c r="C100" s="14"/>
      <c r="D100" s="33" cm="1">
        <f t="array" aca="1" ref="D100" ca="1">[2]!HsGetValue("WSFN|Essbase|EssbaseCluster-3|TOT_PP1|Rptg","Account#"&amp;$B100&amp;";Period#"&amp;D$12&amp;";Years#"&amp;D$13&amp;";Scenario#"&amp;D$11&amp;";Version#"&amp;D$8&amp;";Channel#"&amp;D$6&amp;";Department#"&amp;D$7&amp;";Workforce#"&amp;D$5&amp;";Function#"&amp;D$4&amp;";Product#"&amp;$A100&amp;";Value#"&amp;D$14&amp;";Project#"&amp;D$3&amp;";Management Unit#"&amp;D$9&amp;";Currency#"&amp;D$10&amp;";Activity#"&amp;D$1&amp;";Geography#"&amp;D$2&amp;"")/1000000</f>
        <v>16.616789749600002</v>
      </c>
      <c r="E100" s="16"/>
      <c r="F100" s="15">
        <f ca="1">B100-D100</f>
        <v>21.774606271499998</v>
      </c>
      <c r="G100" s="63">
        <f t="shared" ca="1" si="15"/>
        <v>21.774606271499998</v>
      </c>
      <c r="H100" s="71" t="s">
        <v>122</v>
      </c>
    </row>
    <row r="101" spans="1:8" ht="15" x14ac:dyDescent="0.2">
      <c r="A101" s="48"/>
      <c r="B101" s="49"/>
      <c r="C101" s="14"/>
      <c r="D101" s="50"/>
      <c r="E101" s="16"/>
      <c r="F101" s="15"/>
      <c r="G101" s="63"/>
      <c r="H101" s="10"/>
    </row>
    <row r="102" spans="1:8" ht="15" x14ac:dyDescent="0.2">
      <c r="A102" s="51" t="s">
        <v>98</v>
      </c>
      <c r="B102" s="52">
        <f ca="1">B94+B100</f>
        <v>502.47059922699998</v>
      </c>
      <c r="C102" s="53"/>
      <c r="D102" s="52">
        <f ca="1">D94+D100</f>
        <v>402.47697490799999</v>
      </c>
      <c r="E102" s="54"/>
      <c r="F102" s="52">
        <f ca="1">B102-D102</f>
        <v>99.993624318999991</v>
      </c>
      <c r="G102" s="63">
        <f t="shared" ca="1" si="15"/>
        <v>99.993624318999991</v>
      </c>
      <c r="H102" s="81"/>
    </row>
    <row r="103" spans="1:8" ht="15" x14ac:dyDescent="0.2">
      <c r="A103" s="55" t="s">
        <v>99</v>
      </c>
      <c r="B103" s="56">
        <f ca="1">B102*$O$88</f>
        <v>472.32236327337995</v>
      </c>
      <c r="C103" s="56">
        <f>C102*$O$88</f>
        <v>0</v>
      </c>
      <c r="D103" s="56">
        <f ca="1">D102*$O$88</f>
        <v>378.32835641351994</v>
      </c>
      <c r="E103" s="56">
        <f>E102*$O$88</f>
        <v>0</v>
      </c>
      <c r="F103" s="56">
        <f ca="1">F102*$O$88</f>
        <v>93.994006859859994</v>
      </c>
      <c r="G103" s="63">
        <f t="shared" ca="1" si="15"/>
        <v>93.994006859860008</v>
      </c>
      <c r="H103" s="10"/>
    </row>
    <row r="104" spans="1:8" ht="15" x14ac:dyDescent="0.2">
      <c r="A104" s="57" t="s">
        <v>100</v>
      </c>
      <c r="B104" s="58">
        <f ca="1">B102-B100-B90-B89-B88-B87-B86-B85-B84-B83-B84-B83-B82-B81-B80-B79-B78-B75-B74-B73-B72-B71-B70-B69-B68-B67-B64-B63-B62-B58-B57-B55-B54-B61-B53-B52-B51-B50-B49-B48-B47-B46-B44-B43-B42-B41-B40-B39-B37-B36-B35-B34-B33-B31-B30-B26-B24-B23-B22-B21-B20-B19-B18-B17-B16-B15-B13-B11-B10-B8-B7-B5-B4-B45-B66-B14-B91-B25</f>
        <v>-0.31684741580005177</v>
      </c>
      <c r="C104" s="58">
        <f>C102-C100-C90-C89-C88-C87-C86-C85-C84-C83-C84-C83-C82-C81-C80-C79-C78-C75-C74-C73-C72-C71-C70-C69-C68-C67-C64-C63-C62-C59-C58-C57-C55-C54-C61-C53-C52-C51-C50-C49-C48-C47-C46-C44-C43-C42-C41-C40-C39-C37-C36-C35-C34-C33-C31-C30-C26-C24-C23-C22-C21-C20-C19-C18-C17-C16-C15-C13-C11-C10-C8-C7-C5-C4-C45-C66</f>
        <v>0</v>
      </c>
      <c r="D104" s="58">
        <f ca="1">D102-D100-D90-D89-D88-D87-D86-D85-D84-D83-D84-D83-D82-D81-D80-D79-D78-D75-D74-D73-D72-D71-D70-D69-D68-D67-D64-D63-D62-D58-D57-D55-D54-D61-D53-D52-D51-D50-D49-D48-D47-D46-D44-D43-D42-D41-D40-D39-D37-D36-D35-D34-D33-D31-D30-D26-D24-D23-D22-D21-D20-D19-D18-D17-D16-D15-D13-D11-D10-D8-D7-D5-D4-D45-D66-D14-D91-D25</f>
        <v>-0.43778656119998871</v>
      </c>
      <c r="E104" s="58"/>
      <c r="F104" s="58">
        <f ca="1">F102-F100-F90-F89-F88-F87-F86-F85-F84-F83-F84-F83-F82-F81-F80-F79-F78-F75-F74-F73-F72-F71-F70-F69-F68-F67-F64-F63-F62-F58-F57-F55-F54-F61-F53-F52-F51-F50-F49-F48-F47-F46-F44-F43-F42-F41-F40-F39-F37-F36-F35-F34-F33-F31-F30-F26-F24-F23-F22-F21-F20-F19-F18-F17-F16-F15-F13-F11-F10-F8-F7-F5-F4-F45-F66-F14-F91-F25</f>
        <v>0.12093914539994115</v>
      </c>
      <c r="G104" s="63">
        <f t="shared" ca="1" si="15"/>
        <v>0.12093914539993694</v>
      </c>
      <c r="H104" s="60"/>
    </row>
  </sheetData>
  <conditionalFormatting sqref="F3:F26">
    <cfRule type="cellIs" dxfId="11" priority="1" operator="lessThan">
      <formula>-$N$18</formula>
    </cfRule>
    <cfRule type="cellIs" dxfId="10" priority="2" operator="greaterThan">
      <formula>$N$18</formula>
    </cfRule>
  </conditionalFormatting>
  <conditionalFormatting sqref="F29:F55">
    <cfRule type="cellIs" dxfId="9" priority="9" operator="lessThan">
      <formula>-$N$18</formula>
    </cfRule>
    <cfRule type="cellIs" dxfId="8" priority="10" operator="greaterThan">
      <formula>$N$18</formula>
    </cfRule>
  </conditionalFormatting>
  <conditionalFormatting sqref="F57:F59">
    <cfRule type="cellIs" dxfId="7" priority="11" operator="lessThan">
      <formula>-$N$18</formula>
    </cfRule>
    <cfRule type="cellIs" dxfId="6" priority="12" operator="greaterThan">
      <formula>$N$18</formula>
    </cfRule>
  </conditionalFormatting>
  <conditionalFormatting sqref="F61:F75">
    <cfRule type="cellIs" dxfId="5" priority="7" operator="lessThan">
      <formula>-$N$18</formula>
    </cfRule>
    <cfRule type="cellIs" dxfId="4" priority="8" operator="greaterThan">
      <formula>$N$18</formula>
    </cfRule>
  </conditionalFormatting>
  <conditionalFormatting sqref="F78:F91">
    <cfRule type="cellIs" dxfId="3" priority="5" operator="lessThan">
      <formula>-$N$18</formula>
    </cfRule>
    <cfRule type="cellIs" dxfId="2" priority="6" operator="greaterThan">
      <formula>$N$18</formula>
    </cfRule>
  </conditionalFormatting>
  <conditionalFormatting sqref="F95:F101">
    <cfRule type="cellIs" dxfId="1" priority="3" operator="lessThan">
      <formula>-$N$18</formula>
    </cfRule>
    <cfRule type="cellIs" dxfId="0" priority="4" operator="greaterThan">
      <formula>$N$18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Ananthram Sreenivas</dc:creator>
  <cp:lastModifiedBy>Ananthram Sreenivas</cp:lastModifiedBy>
  <dcterms:created xsi:type="dcterms:W3CDTF">2024-08-12T10:04:05Z</dcterms:created>
  <dcterms:modified xsi:type="dcterms:W3CDTF">2024-08-12T10:12:51Z</dcterms:modified>
</cp:coreProperties>
</file>